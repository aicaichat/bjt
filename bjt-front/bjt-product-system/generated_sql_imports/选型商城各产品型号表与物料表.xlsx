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5"/>
  </bookViews>
  <sheets>
    <sheet name="型号表" sheetId="1" r:id="rId1"/>
    <sheet name="0 附件" sheetId="2" r:id="rId2"/>
    <sheet name="1.1 气垫机" sheetId="3" r:id="rId3"/>
    <sheet name="1.1 气垫机外设配件" sheetId="4" r:id="rId4"/>
    <sheet name="1.2 充气膜" sheetId="5" r:id="rId5"/>
    <sheet name="1.3 气垫机备件" sheetId="6" r:id="rId6"/>
    <sheet name="2.1 纸垫机" sheetId="7" r:id="rId7"/>
    <sheet name="2.1 纸垫机外设配件" sheetId="8" r:id="rId8"/>
    <sheet name="2.2 纸耗材" sheetId="9" r:id="rId9"/>
    <sheet name="2.3 纸机备件" sheetId="10" r:id="rId10"/>
    <sheet name="3.1 胶带机" sheetId="11" r:id="rId11"/>
    <sheet name="3.1 胶带机外设配件" sheetId="12" r:id="rId12"/>
    <sheet name="3.2 湿水胶带耗材" sheetId="13" r:id="rId13"/>
    <sheet name="3.3 湿水胶带机备件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<sst xmlns="http://schemas.openxmlformats.org/spreadsheetml/2006/main" count="1728" uniqueCount="392">
  <si>
    <r>
      <rPr>
        <sz val="12"/>
        <color theme="1"/>
        <rFont val="等线"/>
        <charset val="134"/>
        <scheme val="minor"/>
      </rPr>
      <t>总共1</t>
    </r>
    <r>
      <rPr>
        <sz val="12"/>
        <color theme="1"/>
        <rFont val="等线"/>
        <charset val="134"/>
        <scheme val="minor"/>
      </rPr>
      <t>1</t>
    </r>
    <r>
      <rPr>
        <sz val="12"/>
        <color theme="1"/>
        <rFont val="等线"/>
        <charset val="134"/>
        <scheme val="minor"/>
      </rPr>
      <t>国语言，文中涉及国际化的，以（英语、日语）示意，无注明，则不需要国际化</t>
    </r>
  </si>
  <si>
    <t>此页内容，用于客户选型显示</t>
  </si>
  <si>
    <t>型号</t>
  </si>
  <si>
    <t>名称(英文)</t>
  </si>
  <si>
    <t>名称(多语言)</t>
  </si>
  <si>
    <t>描述(英文)</t>
  </si>
  <si>
    <t>描述(多语言)</t>
  </si>
  <si>
    <t>类型</t>
  </si>
  <si>
    <t>图片1</t>
  </si>
  <si>
    <t>图片2</t>
  </si>
  <si>
    <t>图片1用于主机配件选型页面显示设备的外形图片</t>
  </si>
  <si>
    <t>LA-E4C</t>
  </si>
  <si>
    <t>Starter class air cushion machine</t>
  </si>
  <si>
    <t>图片2用于耗材页面，选择该主机筛选时，显示说明图片</t>
  </si>
  <si>
    <t>LA-E4S</t>
  </si>
  <si>
    <t>Bussiness class air cushion machine</t>
  </si>
  <si>
    <t>LA-E5P</t>
  </si>
  <si>
    <t>Industrial class air pillow machine</t>
  </si>
  <si>
    <t>用于纸耗材，多层耗材的组合使用的说明图片</t>
  </si>
  <si>
    <t>“类型”主要是纸机主机使用，Void Fill，Wraping等</t>
  </si>
  <si>
    <t>各个产品线的主机、配件、备件型号表，皆如此</t>
  </si>
  <si>
    <t>气垫机耗材形态尺寸表，缩写用于拼接成最终规格，如</t>
  </si>
  <si>
    <r>
      <rPr>
        <b/>
        <sz val="12"/>
        <color rgb="FFC00000"/>
        <rFont val="等线"/>
        <charset val="134"/>
        <scheme val="minor"/>
      </rPr>
      <t>MEX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0000"/>
        <rFont val="等线"/>
        <charset val="134"/>
        <scheme val="minor"/>
      </rPr>
      <t>H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C000"/>
        <rFont val="等线"/>
        <charset val="134"/>
        <scheme val="minor"/>
      </rPr>
      <t>10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00B050"/>
        <rFont val="等线"/>
        <charset val="134"/>
        <scheme val="minor"/>
      </rPr>
      <t>20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00B0F0"/>
        <rFont val="等线"/>
        <charset val="134"/>
        <scheme val="minor"/>
      </rPr>
      <t>13</t>
    </r>
  </si>
  <si>
    <t>Shape</t>
  </si>
  <si>
    <t>缩写</t>
  </si>
  <si>
    <t>名称</t>
  </si>
  <si>
    <t>图片</t>
  </si>
  <si>
    <r>
      <rPr>
        <sz val="12"/>
        <color theme="1"/>
        <rFont val="等线"/>
        <charset val="134"/>
        <scheme val="minor"/>
      </rPr>
      <t>M</t>
    </r>
    <r>
      <rPr>
        <sz val="12"/>
        <color theme="1"/>
        <rFont val="等线"/>
        <charset val="134"/>
        <scheme val="minor"/>
      </rPr>
      <t>FA</t>
    </r>
  </si>
  <si>
    <t>Air tube TypeA</t>
  </si>
  <si>
    <t>MFC</t>
  </si>
  <si>
    <t>Air tube TypeB</t>
  </si>
  <si>
    <t>MFB</t>
  </si>
  <si>
    <r>
      <rPr>
        <sz val="12"/>
        <color theme="1"/>
        <rFont val="等线"/>
        <charset val="134"/>
        <scheme val="minor"/>
      </rPr>
      <t>b</t>
    </r>
    <r>
      <rPr>
        <sz val="12"/>
        <color theme="1"/>
        <rFont val="等线"/>
        <charset val="134"/>
        <scheme val="minor"/>
      </rPr>
      <t>ubbles</t>
    </r>
  </si>
  <si>
    <t>MEC</t>
  </si>
  <si>
    <t>Air pillow</t>
  </si>
  <si>
    <t>Material</t>
  </si>
  <si>
    <t>基材</t>
  </si>
  <si>
    <t>HDPE</t>
  </si>
  <si>
    <t>PE</t>
  </si>
  <si>
    <t>LDPE</t>
  </si>
  <si>
    <t>PAPE</t>
  </si>
  <si>
    <t>Thickness</t>
  </si>
  <si>
    <t>公制</t>
  </si>
  <si>
    <t>英制</t>
  </si>
  <si>
    <t>用于“基材”属性为PE的膜</t>
  </si>
  <si>
    <t>Weight</t>
  </si>
  <si>
    <t>用于“基材”属性为PAPER的膜</t>
  </si>
  <si>
    <t>Width</t>
  </si>
  <si>
    <t>Length</t>
  </si>
  <si>
    <r>
      <rPr>
        <b/>
        <sz val="12"/>
        <color theme="1"/>
        <rFont val="等线"/>
        <charset val="134"/>
        <scheme val="minor"/>
      </rPr>
      <t>纸机耗材形态尺寸表，缩写用于拼接成最终规格，如</t>
    </r>
  </si>
  <si>
    <r>
      <rPr>
        <b/>
        <sz val="12"/>
        <color rgb="FFFF0000"/>
        <rFont val="等线"/>
        <charset val="134"/>
        <scheme val="minor"/>
      </rPr>
      <t>MPEV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8" tint="-0.249977"/>
        <rFont val="等线"/>
        <charset val="134"/>
        <scheme val="minor"/>
      </rPr>
      <t>70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8" tint="-0.249977"/>
        <rFont val="等线"/>
        <charset val="134"/>
        <scheme val="minor"/>
      </rPr>
      <t>50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7" tint="-0.499985"/>
        <rFont val="等线"/>
        <charset val="134"/>
        <scheme val="minor"/>
      </rPr>
      <t>190</t>
    </r>
  </si>
  <si>
    <t>如MPV-70-0-190，则MPEV-70-190</t>
  </si>
  <si>
    <t>MPE</t>
  </si>
  <si>
    <t>ECO</t>
  </si>
  <si>
    <t>MPV</t>
  </si>
  <si>
    <t>Virgin</t>
  </si>
  <si>
    <t>MPR</t>
  </si>
  <si>
    <t>Recycled</t>
  </si>
  <si>
    <t>湿水胶带耗材形态尺寸表，缩写用于拼接成最终规格，如</t>
  </si>
  <si>
    <r>
      <rPr>
        <b/>
        <sz val="12"/>
        <color theme="1"/>
        <rFont val="等线"/>
        <charset val="134"/>
        <scheme val="minor"/>
      </rPr>
      <t>LP</t>
    </r>
    <r>
      <rPr>
        <b/>
        <sz val="12"/>
        <color rgb="FFFF0000"/>
        <rFont val="等线"/>
        <charset val="134"/>
        <scheme val="minor"/>
      </rPr>
      <t>80</t>
    </r>
    <r>
      <rPr>
        <b/>
        <sz val="12"/>
        <color theme="7" tint="-0.249977"/>
        <rFont val="等线"/>
        <charset val="134"/>
        <scheme val="minor"/>
      </rPr>
      <t>0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theme="4" tint="-0.249977"/>
        <rFont val="等线"/>
        <charset val="134"/>
        <scheme val="minor"/>
      </rPr>
      <t>25</t>
    </r>
    <r>
      <rPr>
        <b/>
        <sz val="12"/>
        <color rgb="FF7030A0"/>
        <rFont val="等线"/>
        <charset val="134"/>
        <scheme val="minor"/>
      </rPr>
      <t>137</t>
    </r>
    <r>
      <rPr>
        <b/>
        <sz val="12"/>
        <color theme="1"/>
        <rFont val="等线"/>
        <charset val="134"/>
        <scheme val="minor"/>
      </rPr>
      <t>-</t>
    </r>
    <r>
      <rPr>
        <b/>
        <sz val="12"/>
        <color rgb="FFFFC000"/>
        <rFont val="等线"/>
        <charset val="134"/>
        <scheme val="minor"/>
      </rPr>
      <t>0</t>
    </r>
    <r>
      <rPr>
        <b/>
        <sz val="12"/>
        <color theme="0" tint="-0.499985"/>
        <rFont val="等线"/>
        <charset val="134"/>
        <scheme val="minor"/>
      </rPr>
      <t>0</t>
    </r>
  </si>
  <si>
    <t>Reforcement</t>
  </si>
  <si>
    <t>数量</t>
  </si>
  <si>
    <t>Printing</t>
  </si>
  <si>
    <t>代号</t>
  </si>
  <si>
    <t>No</t>
  </si>
  <si>
    <t>With</t>
  </si>
  <si>
    <t>Color</t>
  </si>
  <si>
    <t>Orignial</t>
  </si>
  <si>
    <t>White</t>
  </si>
  <si>
    <t>纸垫包装保护包装类型列表</t>
  </si>
  <si>
    <t>Void Fill</t>
  </si>
  <si>
    <t>Cushioning</t>
  </si>
  <si>
    <t>Wrapping</t>
  </si>
  <si>
    <t>属性名称</t>
  </si>
  <si>
    <t>料号</t>
  </si>
  <si>
    <t>Spec.</t>
  </si>
  <si>
    <t>Spec.(英制)</t>
  </si>
  <si>
    <t>商品属性来源</t>
  </si>
  <si>
    <t>CRM</t>
  </si>
  <si>
    <r>
      <rPr>
        <sz val="11"/>
        <rFont val="宋体"/>
        <charset val="134"/>
      </rPr>
      <t>C</t>
    </r>
    <r>
      <rPr>
        <sz val="11"/>
        <rFont val="宋体"/>
        <charset val="134"/>
      </rPr>
      <t>RM</t>
    </r>
  </si>
  <si>
    <t>选型页的商品展示</t>
  </si>
  <si>
    <t>购物车与PO确认</t>
  </si>
  <si>
    <t>选型和购物车的“详细信息”弹气泡显示</t>
  </si>
  <si>
    <t>PO页</t>
  </si>
  <si>
    <t>√</t>
  </si>
  <si>
    <t>商品清单</t>
  </si>
  <si>
    <t>11A0101029</t>
  </si>
  <si>
    <t xml:space="preserve">Hexagon socket cheese head screws </t>
  </si>
  <si>
    <t>11A0101053</t>
  </si>
  <si>
    <t xml:space="preserve">Hexagon socket cheese head combination screws </t>
  </si>
  <si>
    <t>11A0101075</t>
  </si>
  <si>
    <r>
      <rPr>
        <sz val="11"/>
        <rFont val="宋体"/>
        <charset val="134"/>
      </rPr>
      <t>11A01010</t>
    </r>
    <r>
      <rPr>
        <sz val="11"/>
        <rFont val="宋体"/>
        <charset val="134"/>
      </rPr>
      <t>21</t>
    </r>
  </si>
  <si>
    <r>
      <rPr>
        <sz val="11"/>
        <rFont val="宋体"/>
        <charset val="134"/>
      </rPr>
      <t>11A0101</t>
    </r>
    <r>
      <rPr>
        <sz val="11"/>
        <rFont val="宋体"/>
        <charset val="134"/>
      </rPr>
      <t>103</t>
    </r>
  </si>
  <si>
    <t>Hexagon countersunk head screws</t>
  </si>
  <si>
    <t>选型属性</t>
  </si>
  <si>
    <t>其他属性</t>
  </si>
  <si>
    <t>电压</t>
  </si>
  <si>
    <t>品牌</t>
  </si>
  <si>
    <t>包装尺寸
cm</t>
  </si>
  <si>
    <t>包装尺寸
inch</t>
  </si>
  <si>
    <t>Unit</t>
  </si>
  <si>
    <r>
      <rPr>
        <sz val="11"/>
        <rFont val="宋体"/>
        <charset val="134"/>
      </rPr>
      <t>pro</t>
    </r>
    <r>
      <rPr>
        <sz val="11"/>
        <rFont val="宋体"/>
        <charset val="134"/>
      </rPr>
      <t>ductId</t>
    </r>
  </si>
  <si>
    <t>单件净重
kg</t>
  </si>
  <si>
    <t>单件净重
lbs</t>
  </si>
  <si>
    <t>包装毛重
kg</t>
  </si>
  <si>
    <t>包装毛重
inch</t>
  </si>
  <si>
    <t>单箱数量</t>
  </si>
  <si>
    <t>托盘尺寸
cm</t>
  </si>
  <si>
    <t>托盘尺寸
inch</t>
  </si>
  <si>
    <t>一托数量</t>
  </si>
  <si>
    <t>打托高度
cm</t>
  </si>
  <si>
    <t>打托高度
inch</t>
  </si>
  <si>
    <t>整托毛重
kg</t>
  </si>
  <si>
    <t>整托毛重
lbs</t>
  </si>
  <si>
    <t>页面显示效果</t>
  </si>
  <si>
    <t>单选项，图片+型号文本，</t>
  </si>
  <si>
    <t>单选项，文本</t>
  </si>
  <si>
    <t>缩略图</t>
  </si>
  <si>
    <t>选型值来源</t>
  </si>
  <si>
    <t>气垫机型号表</t>
  </si>
  <si>
    <t>固定</t>
  </si>
  <si>
    <t>商城新建商品时下拉选择</t>
  </si>
  <si>
    <t>各产品线型号表</t>
  </si>
  <si>
    <t>料号表</t>
  </si>
  <si>
    <t>CRM，不展示，算运费用</t>
  </si>
  <si>
    <t>CRM，以其倍数加入购物车</t>
  </si>
  <si>
    <t>关系关联页</t>
  </si>
  <si>
    <t>选项值</t>
  </si>
  <si>
    <t>LA-E4S V2.0</t>
  </si>
  <si>
    <t>LA-E4S(Paper) V2.0</t>
  </si>
  <si>
    <t>LA-F2</t>
  </si>
  <si>
    <t>60A01153</t>
  </si>
  <si>
    <t>Lockedair</t>
  </si>
  <si>
    <t>50.0x50.0x50.0</t>
  </si>
  <si>
    <t>20.0x20.0x20.0</t>
  </si>
  <si>
    <t>1200x1200</t>
  </si>
  <si>
    <t>472x472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</si>
  <si>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A-F2</t>
    </r>
  </si>
  <si>
    <t>60A01131</t>
  </si>
  <si>
    <t>Industria class bubble machine</t>
  </si>
  <si>
    <t>80.0x80.0x80.0</t>
  </si>
  <si>
    <t>31.0x31.0x31.0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</si>
  <si>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A-E4C</t>
    </r>
  </si>
  <si>
    <t>60A01113</t>
  </si>
  <si>
    <t>38.0x38.0x38.0</t>
  </si>
  <si>
    <t>15.0x15.0x15.0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</si>
  <si>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A-E4S</t>
    </r>
  </si>
  <si>
    <t>60A01143</t>
  </si>
  <si>
    <t>属性</t>
  </si>
  <si>
    <t>产品图片</t>
  </si>
  <si>
    <t>电压
V</t>
  </si>
  <si>
    <r>
      <rPr>
        <sz val="11"/>
        <rFont val="宋体"/>
        <charset val="134"/>
      </rPr>
      <t>频率
H</t>
    </r>
    <r>
      <rPr>
        <sz val="11"/>
        <rFont val="宋体"/>
        <charset val="134"/>
      </rPr>
      <t>z</t>
    </r>
  </si>
  <si>
    <r>
      <rPr>
        <sz val="11"/>
        <rFont val="宋体"/>
        <charset val="134"/>
      </rPr>
      <t>U</t>
    </r>
    <r>
      <rPr>
        <sz val="11"/>
        <rFont val="宋体"/>
        <charset val="134"/>
      </rPr>
      <t>nit</t>
    </r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</si>
  <si>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roductId</t>
    </r>
  </si>
  <si>
    <t xml:space="preserve">包装尺寸
inch
</t>
  </si>
  <si>
    <t>包装毛重
lbs</t>
  </si>
  <si>
    <t>强关联物料</t>
  </si>
  <si>
    <t>商品列表</t>
  </si>
  <si>
    <t>商城自管理</t>
  </si>
  <si>
    <t>ET1003</t>
  </si>
  <si>
    <t>60A04018</t>
  </si>
  <si>
    <t>Integrated piping basket</t>
  </si>
  <si>
    <t>/</t>
  </si>
  <si>
    <t>50.0x50.0x38.0</t>
  </si>
  <si>
    <t>20.0x20.0x15.0</t>
  </si>
  <si>
    <t>ET2002</t>
  </si>
  <si>
    <t>60A04043</t>
  </si>
  <si>
    <t>Simplicity Air Bubble Delivery System</t>
  </si>
  <si>
    <t>76.0x76.0x50.0</t>
  </si>
  <si>
    <t>30.0x30.0x20.0</t>
  </si>
  <si>
    <t>LT9002</t>
  </si>
  <si>
    <t>60A04019</t>
  </si>
  <si>
    <t>Lifting Sytem</t>
  </si>
  <si>
    <t>EC2005</t>
  </si>
  <si>
    <t>60A04005</t>
  </si>
  <si>
    <t>Portable bench</t>
  </si>
  <si>
    <t>FR8003</t>
  </si>
  <si>
    <t>60A11013</t>
  </si>
  <si>
    <t>Roll winder</t>
  </si>
  <si>
    <r>
      <rPr>
        <b/>
        <sz val="11"/>
        <rFont val="宋体"/>
        <charset val="134"/>
      </rPr>
      <t>选型属性(基于基材属性显示，</t>
    </r>
    <r>
      <rPr>
        <b/>
        <sz val="11"/>
        <rFont val="宋体"/>
        <charset val="134"/>
      </rPr>
      <t>PAPER-克重，PE-厚度)</t>
    </r>
  </si>
  <si>
    <t>适用机型</t>
  </si>
  <si>
    <t>系列</t>
  </si>
  <si>
    <t>材质</t>
  </si>
  <si>
    <t>厚度/克重
um/gsm</t>
  </si>
  <si>
    <t>厚度/克重
mil/#</t>
  </si>
  <si>
    <r>
      <rPr>
        <sz val="11"/>
        <rFont val="宋体"/>
        <charset val="134"/>
      </rPr>
      <t xml:space="preserve">膜宽
</t>
    </r>
    <r>
      <rPr>
        <sz val="11"/>
        <rFont val="宋体"/>
        <charset val="134"/>
      </rPr>
      <t>cm</t>
    </r>
  </si>
  <si>
    <r>
      <rPr>
        <sz val="11"/>
        <rFont val="宋体"/>
        <charset val="134"/>
      </rPr>
      <t>膜宽
i</t>
    </r>
    <r>
      <rPr>
        <sz val="11"/>
        <rFont val="宋体"/>
        <charset val="134"/>
      </rPr>
      <t>nch</t>
    </r>
  </si>
  <si>
    <r>
      <rPr>
        <sz val="11"/>
        <rFont val="宋体"/>
        <charset val="134"/>
      </rPr>
      <t>袋长
c</t>
    </r>
    <r>
      <rPr>
        <sz val="11"/>
        <rFont val="宋体"/>
        <charset val="134"/>
      </rPr>
      <t>m</t>
    </r>
  </si>
  <si>
    <r>
      <rPr>
        <sz val="11"/>
        <rFont val="宋体"/>
        <charset val="134"/>
      </rPr>
      <t>袋长
i</t>
    </r>
    <r>
      <rPr>
        <sz val="11"/>
        <rFont val="宋体"/>
        <charset val="134"/>
      </rPr>
      <t>nch</t>
    </r>
  </si>
  <si>
    <t>名称(英文)
新增需求</t>
  </si>
  <si>
    <t>形状</t>
  </si>
  <si>
    <t>产品图片
袋型实物</t>
  </si>
  <si>
    <t>型号（公制）</t>
  </si>
  <si>
    <t>型号(英制)</t>
  </si>
  <si>
    <t>泡径
cm</t>
  </si>
  <si>
    <t>泡径
inch</t>
  </si>
  <si>
    <t>总长
m</t>
  </si>
  <si>
    <t>总长
ft</t>
  </si>
  <si>
    <t>包装方式</t>
  </si>
  <si>
    <t>包装毛重
kb</t>
  </si>
  <si>
    <t>包装实物图片</t>
  </si>
  <si>
    <t>一托卷数A</t>
  </si>
  <si>
    <t>整托毛重A
kg</t>
  </si>
  <si>
    <t>整托毛重A
lbs</t>
  </si>
  <si>
    <t>打托高度A
cm</t>
  </si>
  <si>
    <t>打托高度A
inch</t>
  </si>
  <si>
    <t>一托卷数B</t>
  </si>
  <si>
    <t>整盘毛重
kg</t>
  </si>
  <si>
    <t>整盘毛重B
lbs</t>
  </si>
  <si>
    <t>打托高度B
inch</t>
  </si>
  <si>
    <t>一托卷数C</t>
  </si>
  <si>
    <t>整托毛重C
lbs</t>
  </si>
  <si>
    <t>打托高度C
cm</t>
  </si>
  <si>
    <t>打托高度C
inch</t>
  </si>
  <si>
    <t>纸筒内径
cm</t>
  </si>
  <si>
    <t>纸筒内径
inch</t>
  </si>
  <si>
    <t>下拉选项，选型中有简单文字说明</t>
  </si>
  <si>
    <t>下拉选项，</t>
  </si>
  <si>
    <r>
      <rPr>
        <sz val="12"/>
        <color theme="1"/>
        <rFont val="等线"/>
        <charset val="134"/>
        <scheme val="minor"/>
      </rPr>
      <t>下拉选项，</t>
    </r>
    <r>
      <rPr>
        <sz val="12"/>
        <color rgb="FF0070C0"/>
        <rFont val="等线"/>
        <charset val="134"/>
        <scheme val="minor"/>
      </rPr>
      <t>边上静态图片说明宽度是指哪个尺寸</t>
    </r>
  </si>
  <si>
    <r>
      <rPr>
        <sz val="12"/>
        <color theme="1"/>
        <rFont val="等线"/>
        <charset val="134"/>
        <scheme val="minor"/>
      </rPr>
      <t>下拉选项，</t>
    </r>
    <r>
      <rPr>
        <sz val="12"/>
        <color rgb="FF0070C0"/>
        <rFont val="等线"/>
        <charset val="134"/>
        <scheme val="minor"/>
      </rPr>
      <t>边上静态图片说明袋长是指哪个尺寸</t>
    </r>
  </si>
  <si>
    <t>气垫机耗材形态表</t>
  </si>
  <si>
    <t>气垫机耗材材质表</t>
  </si>
  <si>
    <t>遍历数据库</t>
  </si>
  <si>
    <t>充气膜shape表</t>
  </si>
  <si>
    <t>充气膜Material表</t>
  </si>
  <si>
    <t>选项来源型号表，
商品属性来源CRM</t>
  </si>
  <si>
    <r>
      <rPr>
        <sz val="9"/>
        <rFont val="宋体"/>
        <charset val="134"/>
      </rPr>
      <t>C</t>
    </r>
    <r>
      <rPr>
        <sz val="9"/>
        <rFont val="宋体"/>
        <charset val="134"/>
      </rPr>
      <t>RM</t>
    </r>
  </si>
  <si>
    <t>充气膜商品列表</t>
  </si>
  <si>
    <t xml:space="preserve">  </t>
  </si>
  <si>
    <t>MEX</t>
  </si>
  <si>
    <t>H</t>
  </si>
  <si>
    <t>L</t>
  </si>
  <si>
    <t>MEY</t>
  </si>
  <si>
    <t>A</t>
  </si>
  <si>
    <t>MFB25</t>
  </si>
  <si>
    <r>
      <rPr>
        <sz val="11"/>
        <rFont val="宋体"/>
        <charset val="134"/>
      </rPr>
      <t>Pi</t>
    </r>
    <r>
      <rPr>
        <sz val="11"/>
        <rFont val="宋体"/>
        <charset val="134"/>
      </rPr>
      <t>llow</t>
    </r>
  </si>
  <si>
    <t>90R01243</t>
  </si>
  <si>
    <t>MEY-H-20-20-10-L</t>
  </si>
  <si>
    <t>MEY-H-08-08-4-L</t>
  </si>
  <si>
    <t>20um HDPE, 20x20cm, 1460m, 96R/PL</t>
  </si>
  <si>
    <t>0.8mil HDPE, 8"x4.0", 4790', 96R/PL</t>
  </si>
  <si>
    <t>LA-F2/LA-E4S</t>
  </si>
  <si>
    <r>
      <rPr>
        <sz val="11"/>
        <rFont val="宋体"/>
        <charset val="134"/>
      </rPr>
      <t>T</t>
    </r>
    <r>
      <rPr>
        <sz val="11"/>
        <rFont val="宋体"/>
        <charset val="134"/>
      </rPr>
      <t>ube</t>
    </r>
  </si>
  <si>
    <t>90B01181</t>
  </si>
  <si>
    <t>MFB-20-40-33-L</t>
  </si>
  <si>
    <t>MFB-A-08-16-13-L</t>
  </si>
  <si>
    <t>20um PAPE, Φ1.7cm Bubble, 40x33cm, 600m, 90R/PL</t>
  </si>
  <si>
    <r>
      <rPr>
        <sz val="11"/>
        <rFont val="宋体"/>
        <charset val="134"/>
      </rPr>
      <t xml:space="preserve">.8mil PAPE, </t>
    </r>
    <r>
      <rPr>
        <sz val="11"/>
        <rFont val="Calibri"/>
        <charset val="134"/>
      </rPr>
      <t>Φ</t>
    </r>
    <r>
      <rPr>
        <sz val="11"/>
        <rFont val="宋体"/>
        <charset val="134"/>
      </rPr>
      <t>1.7"Bubble, 16"x13.0", 1969', 90R/PL</t>
    </r>
  </si>
  <si>
    <t>PAPA</t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</si>
  <si>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ubble</t>
    </r>
  </si>
  <si>
    <t>90B01031</t>
  </si>
  <si>
    <t>MFB-A-26-80-33-L</t>
  </si>
  <si>
    <t>MFB-A-10-32-13-L</t>
  </si>
  <si>
    <t>26um PAPE, Φ1.7cm Bubble, 80x33cm, 110m, 128R/PL</t>
  </si>
  <si>
    <r>
      <rPr>
        <sz val="11"/>
        <rFont val="宋体"/>
        <charset val="134"/>
      </rPr>
      <t xml:space="preserve">1mil PAPE, </t>
    </r>
    <r>
      <rPr>
        <sz val="11"/>
        <rFont val="Calibri"/>
        <charset val="134"/>
      </rPr>
      <t>Φ</t>
    </r>
    <r>
      <rPr>
        <sz val="11"/>
        <rFont val="宋体"/>
        <charset val="134"/>
      </rPr>
      <t>1.7"Bubble, 32"x13.0", 361', 128R/PL</t>
    </r>
  </si>
  <si>
    <t>LA-E4S Paper</t>
  </si>
  <si>
    <t>PAPER</t>
  </si>
  <si>
    <t>90R01005</t>
  </si>
  <si>
    <t>MEX-KPB-50-20-13-C</t>
  </si>
  <si>
    <t>MEX-KPB-30-8-5-C</t>
  </si>
  <si>
    <t>50# Paper Air Pillow, 20x13cm, 220m, 180R/PL</t>
  </si>
  <si>
    <t>30# Paper Air Pillow, 8"x5.0", 722', 180R/PL</t>
  </si>
  <si>
    <t>LA-E4S/LA-E4C</t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</si>
  <si>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illow</t>
    </r>
  </si>
  <si>
    <t>90R01312</t>
  </si>
  <si>
    <t>MEX-H-13-20-13-L</t>
  </si>
  <si>
    <t>MEX-H-05-8-5-L</t>
  </si>
  <si>
    <t>13um HDPE Pillow, 20x13cm, 1000m, 150R/PL</t>
  </si>
  <si>
    <t>.5mil HDPE Pillow, 8"x8.8", 3281', 150R/PL</t>
  </si>
  <si>
    <t>适配机型</t>
  </si>
  <si>
    <t>是否易损</t>
  </si>
  <si>
    <t>适配序列号</t>
  </si>
  <si>
    <t>商城系统新建时选取</t>
  </si>
  <si>
    <t>备件列表</t>
  </si>
  <si>
    <t>Y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</si>
  <si>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7A0105325</t>
    </r>
  </si>
  <si>
    <r>
      <rPr>
        <sz val="11"/>
        <rFont val="宋体"/>
        <charset val="134"/>
      </rPr>
      <t xml:space="preserve">Ceramic </t>
    </r>
    <r>
      <rPr>
        <sz val="11"/>
        <rFont val="宋体"/>
        <charset val="134"/>
      </rPr>
      <t>Blade</t>
    </r>
  </si>
  <si>
    <t>LA-E4C/LA-E4S</t>
  </si>
  <si>
    <r>
      <rPr>
        <sz val="11"/>
        <rFont val="宋体"/>
        <charset val="134"/>
      </rPr>
      <t>1</t>
    </r>
    <r>
      <rPr>
        <sz val="11"/>
        <rFont val="宋体"/>
        <charset val="134"/>
      </rPr>
      <t>4A01143</t>
    </r>
  </si>
  <si>
    <r>
      <rPr>
        <sz val="11"/>
        <rFont val="宋体"/>
        <charset val="134"/>
      </rPr>
      <t>U</t>
    </r>
    <r>
      <rPr>
        <sz val="11"/>
        <rFont val="宋体"/>
        <charset val="134"/>
      </rPr>
      <t>pper Heating Module</t>
    </r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</si>
  <si>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7A0101019</t>
    </r>
  </si>
  <si>
    <r>
      <rPr>
        <sz val="11"/>
        <rFont val="宋体"/>
        <charset val="134"/>
      </rPr>
      <t>S</t>
    </r>
    <r>
      <rPr>
        <sz val="11"/>
        <rFont val="宋体"/>
        <charset val="134"/>
      </rPr>
      <t>eamless Teflon Ring Belt</t>
    </r>
  </si>
  <si>
    <t>N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</si>
  <si>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8A0105449</t>
    </r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</si>
  <si>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lower WS9290</t>
    </r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</si>
  <si>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8A0105127</t>
    </r>
  </si>
  <si>
    <r>
      <rPr>
        <sz val="11"/>
        <rFont val="宋体"/>
        <charset val="134"/>
      </rPr>
      <t>P</t>
    </r>
    <r>
      <rPr>
        <sz val="11"/>
        <rFont val="宋体"/>
        <charset val="134"/>
      </rPr>
      <t>ower Supply</t>
    </r>
  </si>
  <si>
    <t>信息来源</t>
  </si>
  <si>
    <t>在商城的型号表维护</t>
  </si>
  <si>
    <t>填充</t>
  </si>
  <si>
    <t>LP-F1</t>
  </si>
  <si>
    <t>缓冲</t>
  </si>
  <si>
    <t>LP-V1</t>
  </si>
  <si>
    <t>包裹</t>
  </si>
  <si>
    <t>LP-VM1</t>
  </si>
  <si>
    <t>LP-VM2</t>
  </si>
  <si>
    <t>FlowFill</t>
  </si>
  <si>
    <t>LP-C1</t>
  </si>
  <si>
    <t>LP-C2</t>
  </si>
  <si>
    <t>LP-HA（MC）</t>
  </si>
  <si>
    <t>LP-HA（AC）</t>
  </si>
  <si>
    <t>LP-IB500C（MC）</t>
  </si>
  <si>
    <t>LP-IB500C（AC）</t>
  </si>
  <si>
    <t>LP-H1</t>
  </si>
  <si>
    <t>LP-H1S</t>
  </si>
  <si>
    <t>LP-H1M</t>
  </si>
  <si>
    <t>Handex</t>
  </si>
  <si>
    <t>箱装卷纸</t>
  </si>
  <si>
    <t>void-fill</t>
  </si>
  <si>
    <t>220/110</t>
  </si>
  <si>
    <t>60A07029</t>
  </si>
  <si>
    <t>Paper void-fill machine</t>
  </si>
  <si>
    <t>Lockedpaper</t>
  </si>
  <si>
    <t>100.0x100.0x25.0</t>
  </si>
  <si>
    <t>39.0x39.0x10.0</t>
  </si>
  <si>
    <t>60AF7011</t>
  </si>
  <si>
    <t>cushion</t>
  </si>
  <si>
    <t>60AC7008</t>
  </si>
  <si>
    <t>Narrow paper cushion pad machine</t>
  </si>
  <si>
    <t>100.0x50.0x50.0</t>
  </si>
  <si>
    <t>39.0x20.0x20.0</t>
  </si>
  <si>
    <t>60AC7014</t>
  </si>
  <si>
    <t>Wide paper cushion pad machine</t>
  </si>
  <si>
    <t>wrap</t>
  </si>
  <si>
    <t>LP-HA MC</t>
  </si>
  <si>
    <t>60AH7005</t>
  </si>
  <si>
    <t>Paper wrap and light load blocking system</t>
  </si>
  <si>
    <t>160.0x40.0x30.0</t>
  </si>
  <si>
    <t>63.0x16.0x8.0</t>
  </si>
  <si>
    <t>型号(指向公制)</t>
  </si>
  <si>
    <t>托盘尺寸</t>
  </si>
  <si>
    <t>托盘尺寸(英制)</t>
  </si>
  <si>
    <t>整托毛重
inch</t>
  </si>
  <si>
    <t>适配型号</t>
  </si>
  <si>
    <r>
      <rPr>
        <sz val="11"/>
        <rFont val="宋体"/>
        <charset val="134"/>
      </rPr>
      <t>产品图片
纸型实物</t>
    </r>
    <r>
      <rPr>
        <b/>
        <sz val="10"/>
        <color rgb="FF00B0F0"/>
        <rFont val="宋体"/>
        <charset val="134"/>
      </rPr>
      <t>（体现折叠纸或预折叠纸细节）</t>
    </r>
  </si>
  <si>
    <r>
      <rPr>
        <sz val="11"/>
        <rFont val="宋体"/>
        <charset val="134"/>
      </rPr>
      <t>克重
g</t>
    </r>
    <r>
      <rPr>
        <sz val="11"/>
        <rFont val="宋体"/>
        <charset val="134"/>
      </rPr>
      <t>sm</t>
    </r>
  </si>
  <si>
    <t>克重
#</t>
  </si>
  <si>
    <r>
      <rPr>
        <sz val="11"/>
        <rFont val="宋体"/>
        <charset val="134"/>
      </rPr>
      <t>宽度
c</t>
    </r>
    <r>
      <rPr>
        <sz val="11"/>
        <rFont val="宋体"/>
        <charset val="134"/>
      </rPr>
      <t>m</t>
    </r>
  </si>
  <si>
    <r>
      <rPr>
        <sz val="11"/>
        <rFont val="宋体"/>
        <charset val="134"/>
      </rPr>
      <t>宽度
i</t>
    </r>
    <r>
      <rPr>
        <sz val="11"/>
        <rFont val="宋体"/>
        <charset val="134"/>
      </rPr>
      <t>nch</t>
    </r>
  </si>
  <si>
    <t>层数</t>
  </si>
  <si>
    <r>
      <rPr>
        <sz val="11"/>
        <rFont val="宋体"/>
        <charset val="134"/>
      </rPr>
      <t xml:space="preserve">产品打包后图片
</t>
    </r>
    <r>
      <rPr>
        <b/>
        <sz val="10"/>
        <color rgb="FF00B0F0"/>
        <rFont val="宋体"/>
        <charset val="134"/>
      </rPr>
      <t>（一摞纸打包好的照片）</t>
    </r>
  </si>
  <si>
    <t>纸机主机的分类</t>
  </si>
  <si>
    <t>纸耗材商品列表</t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</si>
  <si>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P-V1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</si>
  <si>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0F01040</t>
    </r>
  </si>
  <si>
    <t>MPV-43-075</t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</si>
  <si>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 1Ply, 7.5"x1640', 80BD/PL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</si>
  <si>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ockedpaper</t>
    </r>
  </si>
  <si>
    <r>
      <rPr>
        <sz val="11"/>
        <rFont val="宋体"/>
        <charset val="134"/>
      </rPr>
      <t>V</t>
    </r>
    <r>
      <rPr>
        <sz val="11"/>
        <rFont val="宋体"/>
        <charset val="134"/>
      </rPr>
      <t>irgin</t>
    </r>
  </si>
  <si>
    <r>
      <rPr>
        <sz val="11"/>
        <rFont val="宋体"/>
        <charset val="134"/>
      </rPr>
      <t>7</t>
    </r>
    <r>
      <rPr>
        <sz val="11"/>
        <rFont val="宋体"/>
        <charset val="134"/>
      </rPr>
      <t>.8x7.8x7.8</t>
    </r>
  </si>
  <si>
    <r>
      <rPr>
        <sz val="11"/>
        <rFont val="宋体"/>
        <charset val="134"/>
      </rPr>
      <t>v</t>
    </r>
    <r>
      <rPr>
        <sz val="11"/>
        <rFont val="宋体"/>
        <charset val="134"/>
      </rPr>
      <t>oid-fill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</si>
  <si>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P-F1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</si>
  <si>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0F01037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</si>
  <si>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PR-30-150</t>
    </r>
  </si>
  <si>
    <r>
      <rPr>
        <sz val="11"/>
        <rFont val="宋体"/>
        <charset val="134"/>
      </rPr>
      <t>3</t>
    </r>
    <r>
      <rPr>
        <sz val="11"/>
        <rFont val="宋体"/>
        <charset val="134"/>
      </rPr>
      <t>0# 1Ply, 15"x1640', 60BD/PL</t>
    </r>
  </si>
  <si>
    <r>
      <rPr>
        <sz val="11"/>
        <rFont val="宋体"/>
        <charset val="134"/>
      </rPr>
      <t>c</t>
    </r>
    <r>
      <rPr>
        <sz val="11"/>
        <rFont val="宋体"/>
        <charset val="134"/>
      </rPr>
      <t>ushion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</si>
  <si>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P-C1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</si>
  <si>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0F01036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</si>
  <si>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PV-43-150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</si>
  <si>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 1Ply, 15"x1181', 60BD/PL</t>
    </r>
  </si>
  <si>
    <r>
      <rPr>
        <sz val="11"/>
        <rFont val="宋体"/>
        <charset val="134"/>
      </rPr>
      <t>E</t>
    </r>
    <r>
      <rPr>
        <sz val="11"/>
        <rFont val="宋体"/>
        <charset val="134"/>
      </rPr>
      <t>co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</si>
  <si>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P-C2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</si>
  <si>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0F01053</t>
    </r>
  </si>
  <si>
    <r>
      <rPr>
        <sz val="11"/>
        <rFont val="宋体"/>
        <charset val="134"/>
      </rPr>
      <t>M</t>
    </r>
    <r>
      <rPr>
        <sz val="11"/>
        <rFont val="宋体"/>
        <charset val="134"/>
      </rPr>
      <t>PVV-43-43-300P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</si>
  <si>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3#/43# V/V 2Ply Prefold, 30"x656', 30BD/PL</t>
    </r>
  </si>
  <si>
    <r>
      <rPr>
        <sz val="11"/>
        <rFont val="宋体"/>
        <charset val="134"/>
      </rPr>
      <t>w</t>
    </r>
    <r>
      <rPr>
        <sz val="11"/>
        <rFont val="宋体"/>
        <charset val="134"/>
      </rPr>
      <t>rap</t>
    </r>
  </si>
  <si>
    <r>
      <rPr>
        <sz val="11"/>
        <rFont val="宋体"/>
        <charset val="134"/>
      </rPr>
      <t>L</t>
    </r>
    <r>
      <rPr>
        <sz val="11"/>
        <rFont val="宋体"/>
        <charset val="134"/>
      </rPr>
      <t>P-HA MC</t>
    </r>
  </si>
  <si>
    <r>
      <rPr>
        <sz val="11"/>
        <rFont val="宋体"/>
        <charset val="134"/>
      </rPr>
      <t>9</t>
    </r>
    <r>
      <rPr>
        <sz val="11"/>
        <rFont val="宋体"/>
        <charset val="134"/>
      </rPr>
      <t>0E01001</t>
    </r>
  </si>
  <si>
    <r>
      <rPr>
        <sz val="11"/>
        <rFont val="宋体"/>
        <charset val="134"/>
      </rPr>
      <t>H</t>
    </r>
    <r>
      <rPr>
        <sz val="11"/>
        <rFont val="宋体"/>
        <charset val="134"/>
      </rPr>
      <t>EX-49-197-K</t>
    </r>
  </si>
  <si>
    <r>
      <rPr>
        <sz val="11"/>
        <rFont val="宋体"/>
        <charset val="134"/>
      </rPr>
      <t>4</t>
    </r>
    <r>
      <rPr>
        <sz val="11"/>
        <rFont val="宋体"/>
        <charset val="134"/>
      </rPr>
      <t>9# Kraft, 19.7"x820', 60R/PL</t>
    </r>
  </si>
  <si>
    <r>
      <rPr>
        <sz val="11"/>
        <rFont val="宋体"/>
        <charset val="134"/>
      </rPr>
      <t>Spe</t>
    </r>
    <r>
      <rPr>
        <sz val="11"/>
        <rFont val="宋体"/>
        <charset val="134"/>
      </rPr>
      <t>c.</t>
    </r>
  </si>
  <si>
    <t>频率</t>
  </si>
  <si>
    <t>购物车</t>
  </si>
  <si>
    <t>EG100</t>
  </si>
  <si>
    <t>100~110V AC</t>
  </si>
  <si>
    <t>50Hz</t>
  </si>
  <si>
    <t>MG80</t>
  </si>
  <si>
    <t>200~220V AC</t>
  </si>
  <si>
    <t>60Hz</t>
  </si>
  <si>
    <t>产品名称</t>
  </si>
  <si>
    <r>
      <rPr>
        <sz val="11"/>
        <rFont val="宋体"/>
        <charset val="134"/>
      </rPr>
      <t>宽度
m</t>
    </r>
    <r>
      <rPr>
        <sz val="11"/>
        <rFont val="宋体"/>
        <charset val="134"/>
      </rPr>
      <t>m</t>
    </r>
  </si>
  <si>
    <t>宽度
inch</t>
  </si>
  <si>
    <t>筋数</t>
  </si>
  <si>
    <t>颜色</t>
  </si>
  <si>
    <t>印刷</t>
  </si>
  <si>
    <r>
      <rPr>
        <sz val="11"/>
        <rFont val="宋体"/>
        <charset val="134"/>
      </rPr>
      <t>产品图片
纸型实物</t>
    </r>
    <r>
      <rPr>
        <b/>
        <sz val="10"/>
        <color rgb="FF00B0F0"/>
        <rFont val="宋体"/>
        <charset val="134"/>
      </rPr>
      <t>（体现胶带细节）</t>
    </r>
  </si>
  <si>
    <t>商品包装后的图片</t>
  </si>
  <si>
    <t>胶带耗材商品列表</t>
  </si>
  <si>
    <t>CRM，商城自动算英制</t>
  </si>
  <si>
    <t>Original</t>
  </si>
  <si>
    <t>NO</t>
  </si>
  <si>
    <r>
      <rPr>
        <sz val="11"/>
        <rFont val="宋体"/>
        <charset val="134"/>
      </rPr>
      <t>S</t>
    </r>
    <r>
      <rPr>
        <sz val="11"/>
        <rFont val="宋体"/>
        <charset val="134"/>
      </rPr>
      <t>pec.(英制)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</si>
</sst>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60">
    <font>
      <sz val="12"/>
      <color theme="1"/>
      <name val="等线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8"/>
      <name val="宋体"/>
      <charset val="134"/>
    </font>
    <font>
      <sz val="10"/>
      <name val="等线"/>
      <charset val="134"/>
    </font>
    <font>
      <sz val="9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</font>
    <font>
      <sz val="12"/>
      <color theme="1"/>
      <name val="等线"/>
      <charset val="134"/>
    </font>
    <font>
      <sz val="11"/>
      <name val="宋体"/>
      <charset val="134"/>
    </font>
    <font>
      <strike/>
      <sz val="11"/>
      <name val="宋体"/>
      <charset val="134"/>
    </font>
    <font>
      <sz val="9"/>
      <name val="宋体"/>
      <charset val="134"/>
    </font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rgb="FFFF0000"/>
      <name val="等线"/>
      <charset val="134"/>
      <scheme val="minor"/>
    </font>
    <font>
      <strike/>
      <sz val="12"/>
      <color rgb="FFFFC000"/>
      <name val="等线"/>
      <charset val="134"/>
      <scheme val="minor"/>
    </font>
    <font>
      <strike/>
      <sz val="12"/>
      <color theme="1"/>
      <name val="等线"/>
      <charset val="134"/>
      <scheme val="minor"/>
    </font>
    <font>
      <strike/>
      <sz val="12"/>
      <color rgb="FF00B050"/>
      <name val="等线"/>
      <charset val="134"/>
      <scheme val="minor"/>
    </font>
    <font>
      <strike/>
      <sz val="12"/>
      <color rgb="FF00B0F0"/>
      <name val="等线"/>
      <charset val="134"/>
      <scheme val="minor"/>
    </font>
    <font>
      <strike/>
      <sz val="12"/>
      <color theme="8" tint="-0.249977"/>
      <name val="等线"/>
      <charset val="134"/>
      <scheme val="minor"/>
    </font>
    <font>
      <strike/>
      <sz val="12"/>
      <color theme="7" tint="-0.499985"/>
      <name val="等线"/>
      <charset val="134"/>
      <scheme val="minor"/>
    </font>
    <font>
      <strike/>
      <sz val="12"/>
      <color theme="7" tint="-0.249977"/>
      <name val="等线"/>
      <charset val="134"/>
      <scheme val="minor"/>
    </font>
    <font>
      <strike/>
      <sz val="12"/>
      <color theme="4" tint="-0.249977"/>
      <name val="等线"/>
      <charset val="134"/>
      <scheme val="minor"/>
    </font>
    <font>
      <strike/>
      <sz val="12"/>
      <color rgb="FF7030A0"/>
      <name val="等线"/>
      <charset val="134"/>
      <scheme val="minor"/>
    </font>
    <font>
      <sz val="12"/>
      <color rgb="FFFFC000"/>
      <name val="等线"/>
      <charset val="134"/>
      <scheme val="minor"/>
    </font>
    <font>
      <sz val="12"/>
      <color theme="0" tint="-0.49998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b/>
      <sz val="12"/>
      <color rgb="FFC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rgb="FFFFC000"/>
      <name val="等线"/>
      <charset val="134"/>
      <scheme val="minor"/>
    </font>
    <font>
      <b/>
      <sz val="12"/>
      <color rgb="FF00B050"/>
      <name val="等线"/>
      <charset val="134"/>
      <scheme val="minor"/>
    </font>
    <font>
      <b/>
      <sz val="12"/>
      <color rgb="FF00B0F0"/>
      <name val="等线"/>
      <charset val="134"/>
      <scheme val="minor"/>
    </font>
    <font>
      <b/>
      <sz val="12"/>
      <color theme="8" tint="-0.249977"/>
      <name val="等线"/>
      <charset val="134"/>
      <scheme val="minor"/>
    </font>
    <font>
      <b/>
      <sz val="12"/>
      <color theme="7" tint="-0.499985"/>
      <name val="等线"/>
      <charset val="134"/>
      <scheme val="minor"/>
    </font>
    <font>
      <b/>
      <sz val="12"/>
      <color theme="7" tint="-0.249977"/>
      <name val="等线"/>
      <charset val="134"/>
      <scheme val="minor"/>
    </font>
    <font>
      <b/>
      <sz val="12"/>
      <color theme="4" tint="-0.249977"/>
      <name val="等线"/>
      <charset val="134"/>
      <scheme val="minor"/>
    </font>
    <font>
      <b/>
      <sz val="12"/>
      <color rgb="FF7030A0"/>
      <name val="等线"/>
      <charset val="134"/>
      <scheme val="minor"/>
    </font>
    <font>
      <b/>
      <sz val="12"/>
      <color theme="0" tint="-0.499985"/>
      <name val="等线"/>
      <charset val="134"/>
      <scheme val="minor"/>
    </font>
    <font>
      <b/>
      <sz val="10"/>
      <color rgb="FF00B0F0"/>
      <name val="宋体"/>
      <charset val="134"/>
    </font>
    <font>
      <sz val="12"/>
      <color rgb="FF0070C0"/>
      <name val="等线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"/>
        <bgColor indexed="64"/>
      </patternFill>
    </fill>
    <fill>
      <patternFill patternType="solid">
        <fgColor theme="0" tint="-0.249977"/>
        <bgColor indexed="64"/>
      </patternFill>
    </fill>
    <fill>
      <patternFill patternType="solid">
        <fgColor theme="9" tint="0.3998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15" borderId="5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4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0" borderId="5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6" borderId="56" applyNumberFormat="0" applyAlignment="0" applyProtection="0">
      <alignment vertical="center"/>
    </xf>
    <xf numFmtId="0" fontId="36" fillId="17" borderId="57" applyNumberFormat="0" applyAlignment="0" applyProtection="0">
      <alignment vertical="center"/>
    </xf>
    <xf numFmtId="0" fontId="37" fillId="17" borderId="56" applyNumberFormat="0" applyAlignment="0" applyProtection="0">
      <alignment vertical="center"/>
    </xf>
    <xf numFmtId="0" fontId="38" fillId="18" borderId="58" applyNumberFormat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40" fillId="0" borderId="60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</cellStyleXfs>
  <cellXfs count="196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2" fillId="3" borderId="0" xfId="0" applyFont="1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0" fontId="4" fillId="0" borderId="18" xfId="0" applyFont="1" applyFill="1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0" borderId="23" xfId="0" applyFont="1" applyFill="1" applyBorder="1">
      <alignment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14" xfId="0" applyFont="1" applyFill="1" applyBorder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0" borderId="24" xfId="0" applyFont="1" applyFill="1" applyBorder="1">
      <alignment vertical="center"/>
    </xf>
    <xf numFmtId="0" fontId="2" fillId="2" borderId="2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1" fillId="4" borderId="2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0" borderId="25" xfId="0" applyFont="1" applyFill="1" applyBorder="1">
      <alignment vertical="center"/>
    </xf>
    <xf numFmtId="0" fontId="1" fillId="0" borderId="4" xfId="0" applyFont="1" applyFill="1" applyBorder="1" applyAlignment="1">
      <alignment vertical="center" wrapText="1"/>
    </xf>
    <xf numFmtId="0" fontId="4" fillId="0" borderId="0" xfId="0" applyFont="1" applyFill="1">
      <alignment vertical="center"/>
    </xf>
    <xf numFmtId="0" fontId="2" fillId="3" borderId="29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0" fillId="0" borderId="31" xfId="0" applyFont="1" applyFill="1" applyBorder="1">
      <alignment vertical="center"/>
    </xf>
    <xf numFmtId="0" fontId="0" fillId="0" borderId="32" xfId="0" applyFont="1" applyFill="1" applyBorder="1">
      <alignment vertical="center"/>
    </xf>
    <xf numFmtId="0" fontId="0" fillId="0" borderId="33" xfId="0" applyFont="1" applyFill="1" applyBorder="1">
      <alignment vertical="center"/>
    </xf>
    <xf numFmtId="176" fontId="1" fillId="0" borderId="4" xfId="0" applyNumberFormat="1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4" fillId="0" borderId="40" xfId="0" applyFont="1" applyFill="1" applyBorder="1">
      <alignment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176" fontId="1" fillId="0" borderId="23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76" fontId="1" fillId="0" borderId="14" xfId="0" applyNumberFormat="1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2" borderId="4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vertical="center" wrapText="1"/>
    </xf>
    <xf numFmtId="0" fontId="0" fillId="0" borderId="44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2" fillId="0" borderId="1" xfId="0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1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0" borderId="46" xfId="0" applyFont="1" applyFill="1" applyBorder="1">
      <alignment vertical="center"/>
    </xf>
    <xf numFmtId="0" fontId="0" fillId="14" borderId="39" xfId="0" applyFont="1" applyFill="1" applyBorder="1">
      <alignment vertical="center"/>
    </xf>
    <xf numFmtId="0" fontId="0" fillId="0" borderId="47" xfId="0" applyFont="1" applyFill="1" applyBorder="1">
      <alignment vertical="center"/>
    </xf>
    <xf numFmtId="0" fontId="13" fillId="0" borderId="0" xfId="0" applyFont="1" applyFill="1">
      <alignment vertical="center"/>
    </xf>
    <xf numFmtId="0" fontId="0" fillId="0" borderId="48" xfId="0" applyFont="1" applyFill="1" applyBorder="1">
      <alignment vertical="center"/>
    </xf>
    <xf numFmtId="0" fontId="13" fillId="0" borderId="49" xfId="0" applyFont="1" applyFill="1" applyBorder="1">
      <alignment vertical="center"/>
    </xf>
    <xf numFmtId="0" fontId="0" fillId="0" borderId="49" xfId="0" applyFont="1" applyFill="1" applyBorder="1">
      <alignment vertical="center"/>
    </xf>
    <xf numFmtId="0" fontId="13" fillId="0" borderId="39" xfId="0" applyFont="1" applyFill="1" applyBorder="1">
      <alignment vertical="center"/>
    </xf>
    <xf numFmtId="0" fontId="0" fillId="0" borderId="39" xfId="0" applyFont="1" applyFill="1" applyBorder="1">
      <alignment vertical="center"/>
    </xf>
    <xf numFmtId="0" fontId="14" fillId="0" borderId="47" xfId="0" applyFont="1" applyFill="1" applyBorder="1">
      <alignment vertical="center"/>
    </xf>
    <xf numFmtId="0" fontId="0" fillId="14" borderId="0" xfId="0" applyFont="1" applyFill="1">
      <alignment vertical="center"/>
    </xf>
    <xf numFmtId="0" fontId="15" fillId="0" borderId="47" xfId="0" applyFont="1" applyFill="1" applyBorder="1">
      <alignment vertical="center"/>
    </xf>
    <xf numFmtId="0" fontId="16" fillId="0" borderId="47" xfId="0" applyFont="1" applyFill="1" applyBorder="1">
      <alignment vertical="center"/>
    </xf>
    <xf numFmtId="0" fontId="17" fillId="14" borderId="0" xfId="0" applyFont="1" applyFill="1">
      <alignment vertical="center"/>
    </xf>
    <xf numFmtId="0" fontId="17" fillId="0" borderId="0" xfId="0" applyFont="1" applyFill="1">
      <alignment vertical="center"/>
    </xf>
    <xf numFmtId="0" fontId="17" fillId="0" borderId="47" xfId="0" applyFont="1" applyFill="1" applyBorder="1">
      <alignment vertical="center"/>
    </xf>
    <xf numFmtId="0" fontId="18" fillId="0" borderId="47" xfId="0" applyFont="1" applyFill="1" applyBorder="1">
      <alignment vertical="center"/>
    </xf>
    <xf numFmtId="0" fontId="19" fillId="0" borderId="47" xfId="0" applyFont="1" applyFill="1" applyBorder="1">
      <alignment vertical="center"/>
    </xf>
    <xf numFmtId="0" fontId="20" fillId="0" borderId="47" xfId="0" applyFont="1" applyFill="1" applyBorder="1">
      <alignment vertical="center"/>
    </xf>
    <xf numFmtId="0" fontId="21" fillId="0" borderId="47" xfId="0" applyFont="1" applyFill="1" applyBorder="1">
      <alignment vertical="center"/>
    </xf>
    <xf numFmtId="0" fontId="22" fillId="0" borderId="47" xfId="0" applyFont="1" applyFill="1" applyBorder="1">
      <alignment vertical="center"/>
    </xf>
    <xf numFmtId="0" fontId="23" fillId="0" borderId="47" xfId="0" applyFont="1" applyFill="1" applyBorder="1">
      <alignment vertical="center"/>
    </xf>
    <xf numFmtId="0" fontId="0" fillId="14" borderId="50" xfId="0" applyFont="1" applyFill="1" applyBorder="1">
      <alignment vertical="center"/>
    </xf>
    <xf numFmtId="0" fontId="0" fillId="0" borderId="51" xfId="0" applyFont="1" applyFill="1" applyBorder="1">
      <alignment vertical="center"/>
    </xf>
    <xf numFmtId="0" fontId="0" fillId="0" borderId="52" xfId="0" applyFont="1" applyFill="1" applyBorder="1">
      <alignment vertical="center"/>
    </xf>
    <xf numFmtId="0" fontId="0" fillId="0" borderId="50" xfId="0" applyFont="1" applyFill="1" applyBorder="1">
      <alignment vertical="center"/>
    </xf>
    <xf numFmtId="0" fontId="24" fillId="0" borderId="47" xfId="0" applyFont="1" applyFill="1" applyBorder="1">
      <alignment vertical="center"/>
    </xf>
    <xf numFmtId="0" fontId="25" fillId="0" borderId="47" xfId="0" applyFont="1" applyFill="1" applyBorder="1">
      <alignment vertical="center"/>
    </xf>
    <xf numFmtId="0" fontId="26" fillId="0" borderId="47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customStorage" Target="customStorage/customStorage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zoomScale="130" zoomScaleNormal="130" workbookViewId="0">
      <selection activeCell="A1" sqref="A1"/>
    </sheetView>
  </sheetViews>
  <sheetFormatPr defaultColWidth="9" defaultRowHeight="17.6"/>
  <cols>
    <col min="1" max="1" width="12" customWidth="1"/>
    <col min="2" max="2" width="10.2291666666667" customWidth="1"/>
    <col min="3" max="3" width="12" customWidth="1"/>
    <col min="4" max="4" width="10.8472222222222" customWidth="1"/>
    <col min="5" max="5" width="10.3819444444444" customWidth="1"/>
    <col min="6" max="6" width="16.5347222222222" customWidth="1"/>
  </cols>
  <sheetData>
    <row r="1" ht="18" spans="2:2">
      <c r="B1" t="s">
        <v>0</v>
      </c>
    </row>
    <row r="2" ht="18.35" spans="2:2">
      <c r="B2" t="s">
        <v>1</v>
      </c>
    </row>
    <row r="3" spans="1:10">
      <c r="A3" s="167"/>
      <c r="B3" s="168" t="s">
        <v>2</v>
      </c>
      <c r="C3" s="168" t="s">
        <v>3</v>
      </c>
      <c r="D3" s="168" t="s">
        <v>4</v>
      </c>
      <c r="E3" s="168" t="s">
        <v>5</v>
      </c>
      <c r="F3" s="168" t="s">
        <v>6</v>
      </c>
      <c r="G3" s="168" t="s">
        <v>7</v>
      </c>
      <c r="H3" s="168" t="s">
        <v>8</v>
      </c>
      <c r="I3" s="189" t="s">
        <v>9</v>
      </c>
      <c r="J3" t="s">
        <v>10</v>
      </c>
    </row>
    <row r="4" ht="22" customHeight="1" spans="1:10">
      <c r="A4" s="169"/>
      <c r="B4" t="s">
        <v>11</v>
      </c>
      <c r="C4" t="s">
        <v>12</v>
      </c>
      <c r="I4" s="190"/>
      <c r="J4" t="s">
        <v>13</v>
      </c>
    </row>
    <row r="5" ht="22" customHeight="1" spans="1:9">
      <c r="A5" s="169"/>
      <c r="B5" t="s">
        <v>14</v>
      </c>
      <c r="C5" t="s">
        <v>15</v>
      </c>
      <c r="I5" s="190"/>
    </row>
    <row r="6" ht="22" customHeight="1" spans="1:9">
      <c r="A6" s="169"/>
      <c r="B6" t="s">
        <v>16</v>
      </c>
      <c r="C6" t="s">
        <v>17</v>
      </c>
      <c r="I6" s="190"/>
    </row>
    <row r="7" spans="1:10">
      <c r="A7" s="169"/>
      <c r="I7" s="190"/>
      <c r="J7" t="s">
        <v>18</v>
      </c>
    </row>
    <row r="8" spans="1:9">
      <c r="A8" s="169"/>
      <c r="B8" s="170" t="s">
        <v>19</v>
      </c>
      <c r="I8" s="190"/>
    </row>
    <row r="9" ht="23" customHeight="1" spans="1:9">
      <c r="A9" s="171"/>
      <c r="B9" s="172" t="s">
        <v>20</v>
      </c>
      <c r="C9" s="173"/>
      <c r="D9" s="173"/>
      <c r="E9" s="173"/>
      <c r="F9" s="173"/>
      <c r="G9" s="173"/>
      <c r="H9" s="173"/>
      <c r="I9" s="191"/>
    </row>
    <row r="11" ht="18.35"/>
    <row r="12" ht="18" spans="1:9">
      <c r="A12" s="167"/>
      <c r="B12" s="174" t="s">
        <v>21</v>
      </c>
      <c r="C12" s="175"/>
      <c r="D12" s="175"/>
      <c r="E12" s="175"/>
      <c r="F12" s="175"/>
      <c r="G12" s="174" t="s">
        <v>22</v>
      </c>
      <c r="H12" s="174"/>
      <c r="I12" s="192"/>
    </row>
    <row r="13" spans="1:9">
      <c r="A13" s="176" t="s">
        <v>23</v>
      </c>
      <c r="B13" s="177" t="s">
        <v>24</v>
      </c>
      <c r="C13" s="177" t="s">
        <v>25</v>
      </c>
      <c r="D13" s="177" t="s">
        <v>26</v>
      </c>
      <c r="I13" s="190"/>
    </row>
    <row r="14" ht="18" spans="1:9">
      <c r="A14" s="169"/>
      <c r="B14" t="s">
        <v>27</v>
      </c>
      <c r="C14" t="s">
        <v>28</v>
      </c>
      <c r="I14" s="190"/>
    </row>
    <row r="15" spans="1:9">
      <c r="A15" s="169"/>
      <c r="B15" t="s">
        <v>29</v>
      </c>
      <c r="C15" t="s">
        <v>30</v>
      </c>
      <c r="I15" s="190"/>
    </row>
    <row r="16" ht="18" spans="1:9">
      <c r="A16" s="169"/>
      <c r="B16" t="s">
        <v>31</v>
      </c>
      <c r="C16" t="s">
        <v>32</v>
      </c>
      <c r="I16" s="190"/>
    </row>
    <row r="17" spans="1:9">
      <c r="A17" s="169"/>
      <c r="B17" t="s">
        <v>33</v>
      </c>
      <c r="C17" t="s">
        <v>34</v>
      </c>
      <c r="I17" s="190"/>
    </row>
    <row r="18" spans="1:9">
      <c r="A18" s="169"/>
      <c r="I18" s="190"/>
    </row>
    <row r="19" spans="1:9">
      <c r="A19" s="178" t="s">
        <v>35</v>
      </c>
      <c r="B19" s="177" t="s">
        <v>25</v>
      </c>
      <c r="C19" s="177" t="s">
        <v>36</v>
      </c>
      <c r="D19" s="177" t="s">
        <v>26</v>
      </c>
      <c r="I19" s="190"/>
    </row>
    <row r="20" spans="1:9">
      <c r="A20" s="169"/>
      <c r="B20" t="s">
        <v>37</v>
      </c>
      <c r="C20" t="s">
        <v>38</v>
      </c>
      <c r="I20" s="190"/>
    </row>
    <row r="21" spans="1:9">
      <c r="A21" s="169"/>
      <c r="B21" t="s">
        <v>39</v>
      </c>
      <c r="C21" t="s">
        <v>38</v>
      </c>
      <c r="I21" s="190"/>
    </row>
    <row r="22" spans="1:9">
      <c r="A22" s="169"/>
      <c r="B22" t="s">
        <v>40</v>
      </c>
      <c r="C22" t="s">
        <v>38</v>
      </c>
      <c r="I22" s="190"/>
    </row>
    <row r="23" spans="1:9">
      <c r="A23" s="169"/>
      <c r="I23" s="190"/>
    </row>
    <row r="24" spans="1:9">
      <c r="A24" s="179" t="s">
        <v>41</v>
      </c>
      <c r="B24" s="180" t="s">
        <v>42</v>
      </c>
      <c r="C24" s="180" t="s">
        <v>43</v>
      </c>
      <c r="D24" s="181" t="s">
        <v>44</v>
      </c>
      <c r="E24" s="181"/>
      <c r="F24" s="181"/>
      <c r="I24" s="190"/>
    </row>
    <row r="25" spans="1:9">
      <c r="A25" s="182"/>
      <c r="B25" s="181"/>
      <c r="C25" s="181"/>
      <c r="D25" s="181"/>
      <c r="E25" s="181"/>
      <c r="F25" s="181"/>
      <c r="I25" s="190"/>
    </row>
    <row r="26" spans="1:9">
      <c r="A26" s="182"/>
      <c r="B26" s="181"/>
      <c r="C26" s="181"/>
      <c r="D26" s="181"/>
      <c r="E26" s="181"/>
      <c r="F26" s="181"/>
      <c r="I26" s="190"/>
    </row>
    <row r="27" spans="1:9">
      <c r="A27" s="179" t="s">
        <v>45</v>
      </c>
      <c r="B27" s="180" t="s">
        <v>42</v>
      </c>
      <c r="C27" s="180" t="s">
        <v>43</v>
      </c>
      <c r="D27" s="181" t="s">
        <v>46</v>
      </c>
      <c r="E27" s="181"/>
      <c r="F27" s="181"/>
      <c r="I27" s="190"/>
    </row>
    <row r="28" spans="1:9">
      <c r="A28" s="182"/>
      <c r="B28" s="181"/>
      <c r="C28" s="181"/>
      <c r="D28" s="181"/>
      <c r="E28" s="181"/>
      <c r="F28" s="181"/>
      <c r="I28" s="190"/>
    </row>
    <row r="29" spans="1:9">
      <c r="A29" s="182"/>
      <c r="B29" s="181"/>
      <c r="C29" s="181"/>
      <c r="D29" s="181"/>
      <c r="E29" s="181"/>
      <c r="F29" s="181"/>
      <c r="I29" s="190"/>
    </row>
    <row r="30" spans="1:9">
      <c r="A30" s="183" t="s">
        <v>47</v>
      </c>
      <c r="B30" s="180" t="s">
        <v>42</v>
      </c>
      <c r="C30" s="180" t="s">
        <v>43</v>
      </c>
      <c r="D30" s="181"/>
      <c r="E30" s="181"/>
      <c r="F30" s="181"/>
      <c r="I30" s="190"/>
    </row>
    <row r="31" spans="1:9">
      <c r="A31" s="182"/>
      <c r="B31" s="181"/>
      <c r="C31" s="181"/>
      <c r="D31" s="181"/>
      <c r="E31" s="181"/>
      <c r="F31" s="181"/>
      <c r="I31" s="190"/>
    </row>
    <row r="32" spans="1:9">
      <c r="A32" s="182"/>
      <c r="B32" s="181"/>
      <c r="C32" s="181"/>
      <c r="D32" s="181"/>
      <c r="E32" s="181"/>
      <c r="F32" s="181"/>
      <c r="I32" s="190"/>
    </row>
    <row r="33" spans="1:9">
      <c r="A33" s="184" t="s">
        <v>48</v>
      </c>
      <c r="B33" s="180" t="s">
        <v>42</v>
      </c>
      <c r="C33" s="180" t="s">
        <v>43</v>
      </c>
      <c r="D33" s="181"/>
      <c r="E33" s="181"/>
      <c r="F33" s="181"/>
      <c r="I33" s="190"/>
    </row>
    <row r="34" spans="1:9">
      <c r="A34" s="169"/>
      <c r="I34" s="190"/>
    </row>
    <row r="35" ht="18.35" spans="1:9">
      <c r="A35" s="171"/>
      <c r="B35" s="173"/>
      <c r="C35" s="173"/>
      <c r="D35" s="173"/>
      <c r="E35" s="173"/>
      <c r="F35" s="173"/>
      <c r="G35" s="173"/>
      <c r="H35" s="173"/>
      <c r="I35" s="191"/>
    </row>
    <row r="36" ht="18.35"/>
    <row r="37" ht="18" spans="1:9">
      <c r="A37" s="167"/>
      <c r="B37" s="174" t="s">
        <v>49</v>
      </c>
      <c r="C37" s="175"/>
      <c r="D37" s="175"/>
      <c r="E37" s="175"/>
      <c r="F37" s="175"/>
      <c r="G37" s="174" t="s">
        <v>50</v>
      </c>
      <c r="H37" s="174"/>
      <c r="I37" s="192"/>
    </row>
    <row r="38" spans="1:9">
      <c r="A38" s="178" t="s">
        <v>35</v>
      </c>
      <c r="B38" s="177" t="s">
        <v>24</v>
      </c>
      <c r="C38" s="177" t="s">
        <v>25</v>
      </c>
      <c r="D38" s="177" t="s">
        <v>26</v>
      </c>
      <c r="E38" s="170" t="s">
        <v>51</v>
      </c>
      <c r="I38" s="190"/>
    </row>
    <row r="39" spans="1:9">
      <c r="A39" s="169"/>
      <c r="B39" t="s">
        <v>52</v>
      </c>
      <c r="C39" t="s">
        <v>53</v>
      </c>
      <c r="I39" s="190"/>
    </row>
    <row r="40" spans="1:9">
      <c r="A40" s="169"/>
      <c r="B40" t="s">
        <v>54</v>
      </c>
      <c r="C40" t="s">
        <v>55</v>
      </c>
      <c r="I40" s="190"/>
    </row>
    <row r="41" spans="1:9">
      <c r="A41" s="169"/>
      <c r="B41" t="s">
        <v>56</v>
      </c>
      <c r="C41" t="s">
        <v>57</v>
      </c>
      <c r="I41" s="190"/>
    </row>
    <row r="42" spans="1:9">
      <c r="A42" s="169"/>
      <c r="I42" s="190"/>
    </row>
    <row r="43" spans="1:9">
      <c r="A43" s="185" t="s">
        <v>45</v>
      </c>
      <c r="B43" s="180" t="s">
        <v>42</v>
      </c>
      <c r="C43" s="180" t="s">
        <v>43</v>
      </c>
      <c r="I43" s="190"/>
    </row>
    <row r="44" spans="1:9">
      <c r="A44" s="182"/>
      <c r="B44" s="181">
        <v>70</v>
      </c>
      <c r="C44" s="181"/>
      <c r="I44" s="190"/>
    </row>
    <row r="45" spans="1:9">
      <c r="A45" s="182"/>
      <c r="B45" s="181">
        <v>50</v>
      </c>
      <c r="C45" s="181"/>
      <c r="I45" s="190"/>
    </row>
    <row r="46" spans="1:9">
      <c r="A46" s="182"/>
      <c r="B46" s="181"/>
      <c r="C46" s="181"/>
      <c r="I46" s="190"/>
    </row>
    <row r="47" spans="1:9">
      <c r="A47" s="186" t="s">
        <v>47</v>
      </c>
      <c r="B47" s="180" t="s">
        <v>42</v>
      </c>
      <c r="C47" s="180" t="s">
        <v>43</v>
      </c>
      <c r="I47" s="190"/>
    </row>
    <row r="48" spans="1:9">
      <c r="A48" s="182"/>
      <c r="B48" s="181">
        <v>190</v>
      </c>
      <c r="C48" s="181"/>
      <c r="I48" s="190"/>
    </row>
    <row r="49" spans="1:9">
      <c r="A49" s="182"/>
      <c r="B49" s="181"/>
      <c r="C49" s="181"/>
      <c r="I49" s="190"/>
    </row>
    <row r="50" spans="1:9">
      <c r="A50" s="182" t="s">
        <v>48</v>
      </c>
      <c r="B50" s="180" t="s">
        <v>42</v>
      </c>
      <c r="C50" s="180" t="s">
        <v>43</v>
      </c>
      <c r="I50" s="190"/>
    </row>
    <row r="51" spans="1:9">
      <c r="A51" s="169"/>
      <c r="I51" s="190"/>
    </row>
    <row r="52" ht="18.35" spans="1:9">
      <c r="A52" s="171"/>
      <c r="B52" s="173"/>
      <c r="C52" s="173"/>
      <c r="D52" s="173"/>
      <c r="E52" s="173"/>
      <c r="F52" s="173"/>
      <c r="G52" s="173"/>
      <c r="H52" s="173"/>
      <c r="I52" s="191"/>
    </row>
    <row r="53" ht="18.35"/>
    <row r="54" ht="18" spans="1:9">
      <c r="A54" s="167"/>
      <c r="B54" s="174" t="s">
        <v>58</v>
      </c>
      <c r="C54" s="175"/>
      <c r="D54" s="175"/>
      <c r="E54" s="175"/>
      <c r="F54" s="175"/>
      <c r="G54" s="174" t="s">
        <v>59</v>
      </c>
      <c r="H54" s="174"/>
      <c r="I54" s="192"/>
    </row>
    <row r="55" spans="1:9">
      <c r="A55" s="178" t="s">
        <v>45</v>
      </c>
      <c r="B55" s="177" t="s">
        <v>42</v>
      </c>
      <c r="C55" s="177" t="s">
        <v>43</v>
      </c>
      <c r="I55" s="190"/>
    </row>
    <row r="56" spans="1:9">
      <c r="A56" s="169"/>
      <c r="B56">
        <v>70</v>
      </c>
      <c r="I56" s="190"/>
    </row>
    <row r="57" spans="1:9">
      <c r="A57" s="169"/>
      <c r="B57">
        <v>50</v>
      </c>
      <c r="I57" s="190"/>
    </row>
    <row r="58" spans="1:9">
      <c r="A58" s="169"/>
      <c r="I58" s="190"/>
    </row>
    <row r="59" spans="1:9">
      <c r="A59" s="187" t="s">
        <v>60</v>
      </c>
      <c r="B59" s="180" t="s">
        <v>61</v>
      </c>
      <c r="I59" s="190"/>
    </row>
    <row r="60" spans="1:9">
      <c r="A60" s="182"/>
      <c r="B60" s="181">
        <v>1</v>
      </c>
      <c r="I60" s="190"/>
    </row>
    <row r="61" spans="1:9">
      <c r="A61" s="169"/>
      <c r="I61" s="190"/>
    </row>
    <row r="62" spans="1:9">
      <c r="A62" s="188" t="s">
        <v>47</v>
      </c>
      <c r="B62" s="180" t="s">
        <v>42</v>
      </c>
      <c r="C62" s="180" t="s">
        <v>43</v>
      </c>
      <c r="I62" s="190"/>
    </row>
    <row r="63" spans="1:9">
      <c r="A63" s="182"/>
      <c r="B63" s="181">
        <v>25</v>
      </c>
      <c r="C63" s="181"/>
      <c r="I63" s="190"/>
    </row>
    <row r="64" spans="1:9">
      <c r="A64" s="182"/>
      <c r="B64" s="181"/>
      <c r="C64" s="181"/>
      <c r="I64" s="190"/>
    </row>
    <row r="65" spans="1:9">
      <c r="A65" s="193" t="s">
        <v>48</v>
      </c>
      <c r="B65" s="180" t="s">
        <v>42</v>
      </c>
      <c r="C65" s="180" t="s">
        <v>43</v>
      </c>
      <c r="I65" s="190"/>
    </row>
    <row r="66" spans="1:9">
      <c r="A66" s="182"/>
      <c r="B66" s="181">
        <v>137</v>
      </c>
      <c r="C66" s="181"/>
      <c r="I66" s="190"/>
    </row>
    <row r="67" spans="1:9">
      <c r="A67" s="169"/>
      <c r="I67" s="190"/>
    </row>
    <row r="68" spans="1:9">
      <c r="A68" s="194" t="s">
        <v>62</v>
      </c>
      <c r="B68" s="177" t="s">
        <v>63</v>
      </c>
      <c r="C68" s="177" t="s">
        <v>25</v>
      </c>
      <c r="I68" s="190"/>
    </row>
    <row r="69" spans="1:9">
      <c r="A69" s="169"/>
      <c r="B69">
        <v>0</v>
      </c>
      <c r="C69" t="s">
        <v>64</v>
      </c>
      <c r="I69" s="190"/>
    </row>
    <row r="70" spans="1:9">
      <c r="A70" s="169"/>
      <c r="B70">
        <v>1</v>
      </c>
      <c r="C70" t="s">
        <v>65</v>
      </c>
      <c r="I70" s="190"/>
    </row>
    <row r="71" spans="1:9">
      <c r="A71" s="169"/>
      <c r="I71" s="190"/>
    </row>
    <row r="72" spans="1:9">
      <c r="A72" s="195" t="s">
        <v>66</v>
      </c>
      <c r="B72" s="177" t="s">
        <v>63</v>
      </c>
      <c r="C72" s="177" t="s">
        <v>25</v>
      </c>
      <c r="I72" s="190"/>
    </row>
    <row r="73" spans="1:9">
      <c r="A73" s="169"/>
      <c r="B73">
        <v>0</v>
      </c>
      <c r="C73" t="s">
        <v>67</v>
      </c>
      <c r="I73" s="190"/>
    </row>
    <row r="74" spans="1:9">
      <c r="A74" s="169"/>
      <c r="B74">
        <v>1</v>
      </c>
      <c r="C74" t="s">
        <v>68</v>
      </c>
      <c r="I74" s="190"/>
    </row>
    <row r="75" spans="1:9">
      <c r="A75" s="169"/>
      <c r="I75" s="190"/>
    </row>
    <row r="76" ht="18.35" spans="1:9">
      <c r="A76" s="171"/>
      <c r="B76" s="173"/>
      <c r="C76" s="173"/>
      <c r="D76" s="173"/>
      <c r="E76" s="173"/>
      <c r="F76" s="173"/>
      <c r="G76" s="173"/>
      <c r="H76" s="173"/>
      <c r="I76" s="191"/>
    </row>
    <row r="77" ht="18.35"/>
    <row r="78" spans="1:9">
      <c r="A78" s="167"/>
      <c r="B78" s="175" t="s">
        <v>69</v>
      </c>
      <c r="C78" s="175"/>
      <c r="D78" s="175"/>
      <c r="E78" s="175"/>
      <c r="F78" s="175"/>
      <c r="G78" s="175"/>
      <c r="H78" s="175"/>
      <c r="I78" s="192"/>
    </row>
    <row r="79" spans="1:9">
      <c r="A79" s="169"/>
      <c r="B79" s="177" t="s">
        <v>7</v>
      </c>
      <c r="I79" s="190"/>
    </row>
    <row r="80" spans="1:9">
      <c r="A80" s="169"/>
      <c r="B80" t="s">
        <v>70</v>
      </c>
      <c r="I80" s="190"/>
    </row>
    <row r="81" spans="1:9">
      <c r="A81" s="169"/>
      <c r="B81" t="s">
        <v>71</v>
      </c>
      <c r="I81" s="190"/>
    </row>
    <row r="82" spans="1:9">
      <c r="A82" s="169"/>
      <c r="B82" t="s">
        <v>72</v>
      </c>
      <c r="I82" s="190"/>
    </row>
    <row r="83" ht="18.35" spans="1:9">
      <c r="A83" s="171"/>
      <c r="B83" s="173"/>
      <c r="C83" s="173"/>
      <c r="D83" s="173"/>
      <c r="E83" s="173"/>
      <c r="F83" s="173"/>
      <c r="G83" s="173"/>
      <c r="H83" s="173"/>
      <c r="I83" s="19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outlinePr summaryBelow="0" summaryRight="0"/>
  </sheetPr>
  <dimension ref="A1:E16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 outlineLevelCol="4"/>
  <cols>
    <col min="2" max="2" width="11.7986111111111" customWidth="1"/>
    <col min="3" max="3" width="48.3819444444444" customWidth="1"/>
    <col min="4" max="5" width="12.6944444444444" customWidth="1"/>
  </cols>
  <sheetData>
    <row r="1" customHeight="1" spans="1:5">
      <c r="A1" s="1"/>
      <c r="B1" s="1"/>
      <c r="C1" s="1"/>
      <c r="D1" s="1"/>
      <c r="E1" s="1"/>
    </row>
    <row r="2" ht="27.75" customHeight="1" spans="1:5">
      <c r="A2" s="16"/>
      <c r="B2" s="30"/>
      <c r="C2" s="30"/>
      <c r="D2" s="30"/>
      <c r="E2" s="30"/>
    </row>
    <row r="3" ht="28" customHeight="1" spans="1:5">
      <c r="A3" s="19" t="s">
        <v>73</v>
      </c>
      <c r="B3" s="7" t="s">
        <v>74</v>
      </c>
      <c r="C3" s="65" t="s">
        <v>25</v>
      </c>
      <c r="D3" s="66" t="s">
        <v>75</v>
      </c>
      <c r="E3" s="66" t="s">
        <v>76</v>
      </c>
    </row>
    <row r="4" ht="39" customHeight="1" spans="1:5">
      <c r="A4" s="21" t="s">
        <v>77</v>
      </c>
      <c r="B4" s="9" t="s">
        <v>78</v>
      </c>
      <c r="C4" s="9" t="s">
        <v>78</v>
      </c>
      <c r="D4" s="9" t="s">
        <v>79</v>
      </c>
      <c r="E4" s="9" t="s">
        <v>79</v>
      </c>
    </row>
    <row r="5" ht="34" spans="1:5">
      <c r="A5" s="19" t="s">
        <v>80</v>
      </c>
      <c r="B5" s="9"/>
      <c r="C5" s="9"/>
      <c r="D5" s="9"/>
      <c r="E5" s="9"/>
    </row>
    <row r="6" ht="24" customHeight="1" spans="1:5">
      <c r="A6" s="19" t="s">
        <v>81</v>
      </c>
      <c r="B6" s="9"/>
      <c r="C6" s="9"/>
      <c r="D6" s="9"/>
      <c r="E6" s="9"/>
    </row>
    <row r="7" ht="31" customHeight="1" spans="1:5">
      <c r="A7" s="24" t="s">
        <v>82</v>
      </c>
      <c r="B7" s="9"/>
      <c r="C7" s="9"/>
      <c r="D7" s="9"/>
      <c r="E7" s="9"/>
    </row>
    <row r="8" ht="20" customHeight="1" spans="1:5">
      <c r="A8" s="19" t="s">
        <v>83</v>
      </c>
      <c r="B8" s="9" t="s">
        <v>84</v>
      </c>
      <c r="C8" s="9" t="s">
        <v>84</v>
      </c>
      <c r="D8" s="9" t="s">
        <v>84</v>
      </c>
      <c r="E8" s="9" t="s">
        <v>84</v>
      </c>
    </row>
    <row r="9" customHeight="1" spans="1:5">
      <c r="A9" s="9"/>
      <c r="B9" s="9"/>
      <c r="C9" s="9"/>
      <c r="D9" s="9"/>
      <c r="E9" s="9"/>
    </row>
    <row r="10" customHeight="1" spans="1:5">
      <c r="A10" s="50" t="s">
        <v>85</v>
      </c>
      <c r="B10" s="29" t="s">
        <v>86</v>
      </c>
      <c r="C10" s="29" t="s">
        <v>87</v>
      </c>
      <c r="D10" s="29"/>
      <c r="E10" s="29"/>
    </row>
    <row r="11" customHeight="1" spans="1:5">
      <c r="A11" s="27"/>
      <c r="B11" s="29" t="s">
        <v>88</v>
      </c>
      <c r="C11" s="29" t="s">
        <v>89</v>
      </c>
      <c r="D11" s="29"/>
      <c r="E11" s="29"/>
    </row>
    <row r="12" customHeight="1" spans="1:5">
      <c r="A12" s="27"/>
      <c r="B12" s="29" t="s">
        <v>90</v>
      </c>
      <c r="C12" s="29" t="s">
        <v>89</v>
      </c>
      <c r="D12" s="29"/>
      <c r="E12" s="29"/>
    </row>
    <row r="13" customHeight="1" spans="1:5">
      <c r="A13" s="27"/>
      <c r="B13" s="29" t="s">
        <v>91</v>
      </c>
      <c r="C13" s="29" t="s">
        <v>87</v>
      </c>
      <c r="D13" s="29"/>
      <c r="E13" s="29"/>
    </row>
    <row r="14" customHeight="1" spans="1:5">
      <c r="A14" s="27"/>
      <c r="B14" s="29" t="s">
        <v>92</v>
      </c>
      <c r="C14" s="29" t="s">
        <v>93</v>
      </c>
      <c r="D14" s="29"/>
      <c r="E14" s="29"/>
    </row>
    <row r="15" customHeight="1" spans="1:5">
      <c r="A15" s="27"/>
      <c r="B15" s="29"/>
      <c r="C15" s="29"/>
      <c r="D15" s="29"/>
      <c r="E15" s="29"/>
    </row>
    <row r="16" customHeight="1" spans="1:5">
      <c r="A16" s="27"/>
      <c r="B16" s="29"/>
      <c r="C16" s="29"/>
      <c r="D16" s="29"/>
      <c r="E16" s="29"/>
    </row>
  </sheetData>
  <mergeCells count="2">
    <mergeCell ref="B2:E2"/>
    <mergeCell ref="A10:A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2" max="2" width="16.1527777777778" customWidth="1"/>
    <col min="3" max="3" width="11.9236111111111" customWidth="1"/>
    <col min="5" max="5" width="10.6111111111111" customWidth="1"/>
    <col min="6" max="6" width="17.6944444444444" customWidth="1"/>
    <col min="7" max="9" width="10.6111111111111" customWidth="1"/>
    <col min="10" max="10" width="13.6944444444444" customWidth="1"/>
    <col min="11" max="13" width="14.1527777777778" customWidth="1"/>
    <col min="15" max="15" width="8.92361111111111" customWidth="1"/>
    <col min="17" max="17" width="13.8472222222222" customWidth="1"/>
    <col min="18" max="18" width="8.69444444444444" customWidth="1"/>
    <col min="19" max="19" width="11.1527777777778" customWidth="1"/>
    <col min="20" max="20" width="12.8472222222222" customWidth="1"/>
    <col min="21" max="22" width="11.5347222222222" customWidth="1"/>
    <col min="23" max="23" width="13.5347222222222" customWidth="1"/>
    <col min="24" max="24" width="10.6944444444444" customWidth="1"/>
    <col min="25" max="25" width="14" customWidth="1"/>
  </cols>
  <sheetData>
    <row r="1" customHeight="1" spans="1:25">
      <c r="A1" s="15"/>
      <c r="B1" s="162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30.5" customHeight="1" spans="1:25">
      <c r="A2" s="2"/>
      <c r="B2" s="163" t="s">
        <v>94</v>
      </c>
      <c r="C2" s="164"/>
      <c r="D2" s="5" t="s">
        <v>95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7.75" customHeight="1" spans="1:25">
      <c r="A3" s="5" t="s">
        <v>73</v>
      </c>
      <c r="B3" s="6" t="s">
        <v>2</v>
      </c>
      <c r="C3" s="6" t="s">
        <v>96</v>
      </c>
      <c r="D3" s="6" t="s">
        <v>26</v>
      </c>
      <c r="E3" s="6" t="s">
        <v>74</v>
      </c>
      <c r="F3" s="6" t="s">
        <v>3</v>
      </c>
      <c r="G3" s="6" t="s">
        <v>97</v>
      </c>
      <c r="H3" s="6" t="s">
        <v>75</v>
      </c>
      <c r="I3" s="6" t="s">
        <v>76</v>
      </c>
      <c r="J3" s="14" t="s">
        <v>98</v>
      </c>
      <c r="K3" s="14" t="s">
        <v>99</v>
      </c>
      <c r="L3" s="14" t="s">
        <v>100</v>
      </c>
      <c r="M3" s="14" t="s">
        <v>101</v>
      </c>
      <c r="N3" s="14" t="s">
        <v>102</v>
      </c>
      <c r="O3" s="14" t="s">
        <v>103</v>
      </c>
      <c r="P3" s="14" t="s">
        <v>104</v>
      </c>
      <c r="Q3" s="14" t="s">
        <v>105</v>
      </c>
      <c r="R3" s="14" t="s">
        <v>106</v>
      </c>
      <c r="S3" s="14" t="s">
        <v>107</v>
      </c>
      <c r="T3" s="14" t="s">
        <v>108</v>
      </c>
      <c r="U3" s="6" t="s">
        <v>109</v>
      </c>
      <c r="V3" s="6" t="s">
        <v>110</v>
      </c>
      <c r="W3" s="6" t="s">
        <v>111</v>
      </c>
      <c r="X3" s="6" t="s">
        <v>112</v>
      </c>
      <c r="Y3" s="6" t="s">
        <v>113</v>
      </c>
    </row>
    <row r="4" ht="45.5" customHeight="1" spans="1:25">
      <c r="A4" s="5" t="s">
        <v>114</v>
      </c>
      <c r="B4" s="2" t="s">
        <v>115</v>
      </c>
      <c r="C4" s="2" t="s">
        <v>116</v>
      </c>
      <c r="D4" s="2" t="s">
        <v>117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5"/>
    </row>
    <row r="5" ht="33" customHeight="1" spans="1:25">
      <c r="A5" s="5" t="s">
        <v>118</v>
      </c>
      <c r="B5" s="2" t="s">
        <v>119</v>
      </c>
      <c r="C5" s="2" t="s">
        <v>120</v>
      </c>
      <c r="D5" s="165"/>
      <c r="E5" s="165"/>
      <c r="F5" s="165"/>
      <c r="G5" s="165"/>
      <c r="H5" s="165"/>
      <c r="I5" s="165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5"/>
      <c r="V5" s="165"/>
      <c r="W5" s="166"/>
      <c r="X5" s="166"/>
      <c r="Y5" s="15"/>
    </row>
    <row r="6" ht="33" customHeight="1" spans="1:25">
      <c r="A6" s="5" t="s">
        <v>77</v>
      </c>
      <c r="B6" s="2" t="s">
        <v>121</v>
      </c>
      <c r="C6" s="2" t="s">
        <v>78</v>
      </c>
      <c r="D6" s="2" t="s">
        <v>122</v>
      </c>
      <c r="E6" s="2" t="s">
        <v>123</v>
      </c>
      <c r="F6" s="2" t="s">
        <v>78</v>
      </c>
      <c r="G6" s="2" t="s">
        <v>78</v>
      </c>
      <c r="H6" s="2"/>
      <c r="I6" s="2"/>
      <c r="J6" s="2" t="s">
        <v>78</v>
      </c>
      <c r="K6" s="2" t="s">
        <v>78</v>
      </c>
      <c r="L6" s="2" t="s">
        <v>78</v>
      </c>
      <c r="M6" s="2" t="s">
        <v>78</v>
      </c>
      <c r="N6" s="2" t="s">
        <v>79</v>
      </c>
      <c r="O6" s="2" t="s">
        <v>79</v>
      </c>
      <c r="P6" s="2" t="s">
        <v>124</v>
      </c>
      <c r="Q6" s="2" t="s">
        <v>124</v>
      </c>
      <c r="R6" s="2" t="s">
        <v>125</v>
      </c>
      <c r="S6" s="2" t="s">
        <v>79</v>
      </c>
      <c r="T6" s="2" t="s">
        <v>79</v>
      </c>
      <c r="U6" s="2" t="s">
        <v>78</v>
      </c>
      <c r="V6" s="2" t="s">
        <v>79</v>
      </c>
      <c r="W6" s="2" t="s">
        <v>79</v>
      </c>
      <c r="X6" s="2" t="s">
        <v>78</v>
      </c>
      <c r="Y6" s="2" t="s">
        <v>78</v>
      </c>
    </row>
    <row r="7" ht="35" customHeight="1" spans="1:25">
      <c r="A7" s="5" t="s">
        <v>80</v>
      </c>
      <c r="B7" s="2" t="s">
        <v>84</v>
      </c>
      <c r="C7" s="2" t="s">
        <v>84</v>
      </c>
      <c r="D7" s="2" t="s">
        <v>84</v>
      </c>
      <c r="E7" s="2" t="s">
        <v>84</v>
      </c>
      <c r="F7" s="2" t="s">
        <v>84</v>
      </c>
      <c r="G7" s="2"/>
      <c r="H7" s="2"/>
      <c r="I7" s="2"/>
      <c r="J7" s="2"/>
      <c r="K7" s="2"/>
      <c r="L7" s="2"/>
      <c r="M7" s="138" t="s">
        <v>84</v>
      </c>
      <c r="N7" s="2"/>
      <c r="O7" s="2"/>
      <c r="P7" s="2"/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/>
      <c r="X7" s="2"/>
      <c r="Y7" s="15"/>
    </row>
    <row r="8" ht="35" customHeight="1" spans="1:25">
      <c r="A8" s="46" t="s">
        <v>126</v>
      </c>
      <c r="B8" s="2" t="s">
        <v>84</v>
      </c>
      <c r="C8" s="2" t="s">
        <v>84</v>
      </c>
      <c r="D8" s="2" t="s">
        <v>84</v>
      </c>
      <c r="E8" s="2" t="s">
        <v>84</v>
      </c>
      <c r="F8" s="2" t="s">
        <v>84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5"/>
    </row>
    <row r="9" ht="28" customHeight="1" spans="1:25">
      <c r="A9" s="5" t="s">
        <v>81</v>
      </c>
      <c r="B9" s="2" t="s">
        <v>84</v>
      </c>
      <c r="C9" s="2" t="s">
        <v>84</v>
      </c>
      <c r="D9" s="2" t="s">
        <v>84</v>
      </c>
      <c r="E9" s="2" t="s">
        <v>84</v>
      </c>
      <c r="F9" s="2" t="s">
        <v>84</v>
      </c>
      <c r="G9" s="2"/>
      <c r="H9" s="2"/>
      <c r="I9" s="2"/>
      <c r="J9" s="2"/>
      <c r="K9" s="2"/>
      <c r="L9" s="2"/>
      <c r="M9" s="138" t="s">
        <v>84</v>
      </c>
      <c r="N9" s="2"/>
      <c r="O9" s="2"/>
      <c r="P9" s="2"/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/>
      <c r="X9" s="2"/>
      <c r="Y9" s="15"/>
    </row>
    <row r="10" ht="47" customHeight="1" spans="1:25">
      <c r="A10" s="10" t="s">
        <v>82</v>
      </c>
      <c r="B10" s="2"/>
      <c r="C10" s="15"/>
      <c r="D10" s="2"/>
      <c r="E10" s="2"/>
      <c r="F10" s="2"/>
      <c r="G10" s="2"/>
      <c r="H10" s="2"/>
      <c r="I10" s="2"/>
      <c r="J10" s="2" t="s">
        <v>84</v>
      </c>
      <c r="K10" s="2" t="s">
        <v>84</v>
      </c>
      <c r="L10" s="2"/>
      <c r="M10" s="2"/>
      <c r="N10" s="2" t="s">
        <v>84</v>
      </c>
      <c r="O10" s="2" t="s">
        <v>84</v>
      </c>
      <c r="P10" s="2"/>
      <c r="Q10" s="2"/>
      <c r="R10" s="2"/>
      <c r="S10" s="2"/>
      <c r="T10" s="2"/>
      <c r="U10" s="2"/>
      <c r="V10" s="2" t="s">
        <v>84</v>
      </c>
      <c r="W10" s="2" t="s">
        <v>84</v>
      </c>
      <c r="X10" s="2" t="s">
        <v>84</v>
      </c>
      <c r="Y10" s="2" t="s">
        <v>84</v>
      </c>
    </row>
    <row r="11" ht="28" customHeight="1" spans="1:25">
      <c r="A11" s="5" t="s">
        <v>83</v>
      </c>
      <c r="B11" s="2" t="s">
        <v>84</v>
      </c>
      <c r="C11" s="2"/>
      <c r="D11" s="2"/>
      <c r="E11" s="2" t="s">
        <v>84</v>
      </c>
      <c r="F11" s="2" t="s">
        <v>84</v>
      </c>
      <c r="G11" s="2" t="s">
        <v>84</v>
      </c>
      <c r="H11" s="2" t="s">
        <v>84</v>
      </c>
      <c r="I11" s="2" t="s">
        <v>84</v>
      </c>
      <c r="J11" s="2"/>
      <c r="K11" s="2"/>
      <c r="L11" s="2"/>
      <c r="M11" s="138" t="s">
        <v>84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5"/>
    </row>
    <row r="12" customHeight="1" spans="1:25">
      <c r="A12" s="2" t="s">
        <v>127</v>
      </c>
      <c r="B12" s="2" t="s">
        <v>11</v>
      </c>
      <c r="C12" s="2">
        <v>110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61"/>
      <c r="P12" s="161"/>
      <c r="Q12" s="161"/>
      <c r="R12" s="161"/>
      <c r="S12" s="2"/>
      <c r="T12" s="2"/>
      <c r="U12" s="2"/>
      <c r="V12" s="2"/>
      <c r="W12" s="2"/>
      <c r="X12" s="2"/>
      <c r="Y12" s="15"/>
    </row>
    <row r="13" customHeight="1" spans="1:25">
      <c r="A13" s="13"/>
      <c r="B13" s="2" t="s">
        <v>128</v>
      </c>
      <c r="C13" s="2">
        <v>220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61"/>
      <c r="P13" s="161"/>
      <c r="Q13" s="161"/>
      <c r="R13" s="161"/>
      <c r="S13" s="2"/>
      <c r="T13" s="2"/>
      <c r="U13" s="2"/>
      <c r="V13" s="2"/>
      <c r="W13" s="2"/>
      <c r="X13" s="2"/>
      <c r="Y13" s="15"/>
    </row>
    <row r="14" ht="27.75" customHeight="1" spans="1:25">
      <c r="A14" s="13"/>
      <c r="B14" s="2" t="s">
        <v>129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61"/>
      <c r="P14" s="161"/>
      <c r="Q14" s="161"/>
      <c r="R14" s="161"/>
      <c r="S14" s="2"/>
      <c r="T14" s="2"/>
      <c r="U14" s="2"/>
      <c r="V14" s="2"/>
      <c r="W14" s="2"/>
      <c r="X14" s="2"/>
      <c r="Y14" s="15"/>
    </row>
    <row r="15" customHeight="1" spans="1:25">
      <c r="A15" s="13"/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61"/>
      <c r="P15" s="161"/>
      <c r="Q15" s="161"/>
      <c r="R15" s="161"/>
      <c r="S15" s="2"/>
      <c r="T15" s="2"/>
      <c r="U15" s="2"/>
      <c r="V15" s="2"/>
      <c r="W15" s="2"/>
      <c r="X15" s="2"/>
      <c r="Y15" s="15"/>
    </row>
    <row r="16" customHeight="1" spans="1:25">
      <c r="A16" s="13"/>
      <c r="B16" s="2" t="s">
        <v>130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61"/>
      <c r="P16" s="161"/>
      <c r="Q16" s="161"/>
      <c r="R16" s="161"/>
      <c r="S16" s="2"/>
      <c r="T16" s="2"/>
      <c r="U16" s="2"/>
      <c r="V16" s="2"/>
      <c r="W16" s="2"/>
      <c r="X16" s="2"/>
      <c r="Y16" s="15"/>
    </row>
    <row r="17" customHeight="1" spans="1:25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61"/>
      <c r="P17" s="161"/>
      <c r="Q17" s="161"/>
      <c r="R17" s="161"/>
      <c r="S17" s="2"/>
      <c r="T17" s="2"/>
      <c r="U17" s="2"/>
      <c r="V17" s="2"/>
      <c r="W17" s="2"/>
      <c r="X17" s="2"/>
      <c r="Y17" s="15"/>
    </row>
    <row r="18" customHeight="1" spans="1:25">
      <c r="A18" s="11" t="s">
        <v>85</v>
      </c>
      <c r="B18" s="2" t="s">
        <v>16</v>
      </c>
      <c r="C18" s="2">
        <v>110</v>
      </c>
      <c r="D18" s="2"/>
      <c r="E18" s="2" t="s">
        <v>131</v>
      </c>
      <c r="F18" s="2" t="s">
        <v>17</v>
      </c>
      <c r="G18" s="2" t="s">
        <v>132</v>
      </c>
      <c r="H18" s="2"/>
      <c r="I18" s="2"/>
      <c r="J18" s="2" t="s">
        <v>133</v>
      </c>
      <c r="K18" s="2" t="s">
        <v>134</v>
      </c>
      <c r="L18" s="2"/>
      <c r="M18" s="2"/>
      <c r="N18" s="161">
        <f>0.45359237*O18</f>
        <v>19.05087954</v>
      </c>
      <c r="O18" s="161">
        <v>42</v>
      </c>
      <c r="P18" s="161">
        <f>Q18*0.45359237</f>
        <v>20.86524902</v>
      </c>
      <c r="Q18" s="161">
        <v>46</v>
      </c>
      <c r="R18" s="116">
        <v>1</v>
      </c>
      <c r="S18" s="2" t="s">
        <v>135</v>
      </c>
      <c r="T18" s="2" t="s">
        <v>136</v>
      </c>
      <c r="U18" s="2">
        <v>10</v>
      </c>
      <c r="V18" s="116">
        <v>300</v>
      </c>
      <c r="W18" s="100">
        <f>V18*0.3937</f>
        <v>118.11</v>
      </c>
      <c r="X18" s="116">
        <f>0.45359237*Y18</f>
        <v>997.903214</v>
      </c>
      <c r="Y18" s="2">
        <v>2200</v>
      </c>
    </row>
    <row r="19" customHeight="1" spans="1:25">
      <c r="A19" s="13"/>
      <c r="B19" s="2" t="s">
        <v>137</v>
      </c>
      <c r="C19" s="2">
        <v>110</v>
      </c>
      <c r="D19" s="2"/>
      <c r="E19" s="2" t="s">
        <v>138</v>
      </c>
      <c r="F19" s="2" t="s">
        <v>139</v>
      </c>
      <c r="G19" s="2" t="s">
        <v>132</v>
      </c>
      <c r="H19" s="2"/>
      <c r="I19" s="2"/>
      <c r="J19" s="2" t="s">
        <v>140</v>
      </c>
      <c r="K19" s="2" t="s">
        <v>141</v>
      </c>
      <c r="L19" s="2"/>
      <c r="M19" s="2"/>
      <c r="N19" s="161">
        <f>0.45359237*O19</f>
        <v>21.953870708</v>
      </c>
      <c r="O19" s="161">
        <v>48.4</v>
      </c>
      <c r="P19" s="161">
        <f>Q19*0.45359237</f>
        <v>22.6796185</v>
      </c>
      <c r="Q19" s="161">
        <v>50</v>
      </c>
      <c r="R19" s="116">
        <v>1</v>
      </c>
      <c r="S19" s="2" t="s">
        <v>135</v>
      </c>
      <c r="T19" s="2" t="s">
        <v>136</v>
      </c>
      <c r="U19" s="2">
        <v>10</v>
      </c>
      <c r="V19" s="116">
        <v>300</v>
      </c>
      <c r="W19" s="100">
        <f>V19*0.3937</f>
        <v>118.11</v>
      </c>
      <c r="X19" s="116">
        <f>0.45359237*Y19</f>
        <v>997.903214</v>
      </c>
      <c r="Y19" s="2">
        <v>2200</v>
      </c>
    </row>
    <row r="20" customHeight="1" spans="1:25">
      <c r="A20" s="13"/>
      <c r="B20" s="2" t="s">
        <v>142</v>
      </c>
      <c r="C20" s="2">
        <v>110</v>
      </c>
      <c r="D20" s="2"/>
      <c r="E20" s="2" t="s">
        <v>143</v>
      </c>
      <c r="F20" s="2" t="s">
        <v>12</v>
      </c>
      <c r="G20" s="2" t="s">
        <v>132</v>
      </c>
      <c r="H20" s="2"/>
      <c r="I20" s="2"/>
      <c r="J20" s="2" t="s">
        <v>144</v>
      </c>
      <c r="K20" s="2" t="s">
        <v>145</v>
      </c>
      <c r="L20" s="2"/>
      <c r="M20" s="2"/>
      <c r="N20" s="161">
        <f>0.45359237*O20</f>
        <v>9.0718474</v>
      </c>
      <c r="O20" s="161">
        <v>20</v>
      </c>
      <c r="P20" s="161">
        <f>Q20*0.45359237</f>
        <v>9.97903214</v>
      </c>
      <c r="Q20" s="161">
        <v>22</v>
      </c>
      <c r="R20" s="116">
        <v>1</v>
      </c>
      <c r="S20" s="2" t="s">
        <v>135</v>
      </c>
      <c r="T20" s="2" t="s">
        <v>136</v>
      </c>
      <c r="U20" s="2">
        <v>10</v>
      </c>
      <c r="V20" s="116">
        <v>250</v>
      </c>
      <c r="W20" s="100">
        <f>V20*0.3937</f>
        <v>98.425</v>
      </c>
      <c r="X20" s="116">
        <f>0.45359237*Y20</f>
        <v>997.903214</v>
      </c>
      <c r="Y20" s="2">
        <v>2200</v>
      </c>
    </row>
    <row r="21" customHeight="1" spans="1:25">
      <c r="A21" s="13"/>
      <c r="B21" s="2" t="s">
        <v>146</v>
      </c>
      <c r="C21" s="2">
        <v>110</v>
      </c>
      <c r="D21" s="2"/>
      <c r="E21" s="2" t="s">
        <v>147</v>
      </c>
      <c r="F21" s="2" t="s">
        <v>15</v>
      </c>
      <c r="G21" s="2" t="s">
        <v>132</v>
      </c>
      <c r="H21" s="2"/>
      <c r="I21" s="2"/>
      <c r="J21" s="2" t="s">
        <v>144</v>
      </c>
      <c r="K21" s="2" t="s">
        <v>145</v>
      </c>
      <c r="L21" s="2"/>
      <c r="M21" s="2"/>
      <c r="N21" s="161">
        <f>0.45359237*O21</f>
        <v>9.0718474</v>
      </c>
      <c r="O21" s="161">
        <v>20</v>
      </c>
      <c r="P21" s="161">
        <f>Q21*0.45359237</f>
        <v>9.97903214</v>
      </c>
      <c r="Q21" s="161">
        <v>22</v>
      </c>
      <c r="R21" s="116">
        <v>1</v>
      </c>
      <c r="S21" s="2" t="s">
        <v>135</v>
      </c>
      <c r="T21" s="2" t="s">
        <v>136</v>
      </c>
      <c r="U21" s="2">
        <v>10</v>
      </c>
      <c r="V21" s="116">
        <v>250</v>
      </c>
      <c r="W21" s="100">
        <f>V21*0.3937</f>
        <v>98.425</v>
      </c>
      <c r="X21" s="116">
        <f>0.45359237*Y21</f>
        <v>997.903214</v>
      </c>
      <c r="Y21" s="2">
        <v>2200</v>
      </c>
    </row>
    <row r="22" customHeight="1" spans="1:25">
      <c r="A22" s="13"/>
      <c r="B22" s="2" t="s">
        <v>146</v>
      </c>
      <c r="C22" s="2">
        <v>220</v>
      </c>
      <c r="D22" s="2"/>
      <c r="E22" s="2" t="s">
        <v>147</v>
      </c>
      <c r="F22" s="2" t="s">
        <v>15</v>
      </c>
      <c r="G22" s="2" t="s">
        <v>132</v>
      </c>
      <c r="H22" s="2"/>
      <c r="I22" s="2"/>
      <c r="J22" s="2" t="s">
        <v>144</v>
      </c>
      <c r="K22" s="2" t="s">
        <v>145</v>
      </c>
      <c r="L22" s="2"/>
      <c r="M22" s="2"/>
      <c r="N22" s="161">
        <f>0.45359237*O22</f>
        <v>9.0718474</v>
      </c>
      <c r="O22" s="161">
        <v>20</v>
      </c>
      <c r="P22" s="161">
        <f>Q22*0.45359237</f>
        <v>9.97903214</v>
      </c>
      <c r="Q22" s="161">
        <v>22</v>
      </c>
      <c r="R22" s="116">
        <v>1</v>
      </c>
      <c r="S22" s="2" t="s">
        <v>135</v>
      </c>
      <c r="T22" s="2" t="s">
        <v>136</v>
      </c>
      <c r="U22" s="2">
        <v>10</v>
      </c>
      <c r="V22" s="116">
        <v>300</v>
      </c>
      <c r="W22" s="100">
        <f>V22*0.3937</f>
        <v>118.11</v>
      </c>
      <c r="X22" s="116">
        <f>0.45359237*Y22</f>
        <v>997.903214</v>
      </c>
      <c r="Y22" s="2">
        <v>2200</v>
      </c>
    </row>
    <row r="23" customHeight="1" spans="1:25">
      <c r="A23" s="13"/>
      <c r="B23" s="1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61"/>
      <c r="O23" s="161"/>
      <c r="P23" s="161"/>
      <c r="Q23" s="161"/>
      <c r="R23" s="161"/>
      <c r="S23" s="2"/>
      <c r="T23" s="2"/>
      <c r="U23" s="2"/>
      <c r="V23" s="2"/>
      <c r="W23" s="2"/>
      <c r="X23" s="2"/>
      <c r="Y23" s="15"/>
    </row>
    <row r="24" customHeight="1" spans="1:25">
      <c r="A24" s="13"/>
      <c r="B24" s="1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61"/>
      <c r="O24" s="161"/>
      <c r="P24" s="161"/>
      <c r="Q24" s="161"/>
      <c r="R24" s="161"/>
      <c r="S24" s="2"/>
      <c r="T24" s="2"/>
      <c r="U24" s="2"/>
      <c r="V24" s="2"/>
      <c r="W24" s="2"/>
      <c r="X24" s="2"/>
      <c r="Y24" s="15"/>
    </row>
  </sheetData>
  <mergeCells count="4">
    <mergeCell ref="B2:C2"/>
    <mergeCell ref="D2:Y2"/>
    <mergeCell ref="A12:A16"/>
    <mergeCell ref="A18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6" max="6" width="14.4583333333333" customWidth="1"/>
    <col min="7" max="8" width="10.6111111111111" customWidth="1"/>
    <col min="11" max="13" width="13.8472222222222" customWidth="1"/>
    <col min="14" max="14" width="13.5347222222222" customWidth="1"/>
    <col min="22" max="23" width="12.3055555555556" customWidth="1"/>
    <col min="24" max="27" width="10.8472222222222" customWidth="1"/>
  </cols>
  <sheetData>
    <row r="1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7.75" customHeight="1" spans="1:27">
      <c r="A2" s="2"/>
      <c r="B2" s="156" t="s">
        <v>148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</row>
    <row r="3" ht="32" customHeight="1" spans="1:27">
      <c r="A3" s="5" t="s">
        <v>73</v>
      </c>
      <c r="B3" s="8" t="s">
        <v>149</v>
      </c>
      <c r="C3" s="8" t="s">
        <v>2</v>
      </c>
      <c r="D3" s="6" t="s">
        <v>97</v>
      </c>
      <c r="E3" s="6" t="s">
        <v>74</v>
      </c>
      <c r="F3" s="6" t="s">
        <v>3</v>
      </c>
      <c r="G3" s="6" t="s">
        <v>75</v>
      </c>
      <c r="H3" s="6" t="s">
        <v>76</v>
      </c>
      <c r="I3" s="6" t="s">
        <v>150</v>
      </c>
      <c r="J3" s="6" t="s">
        <v>151</v>
      </c>
      <c r="K3" s="14" t="s">
        <v>98</v>
      </c>
      <c r="L3" s="14" t="s">
        <v>152</v>
      </c>
      <c r="M3" s="14" t="s">
        <v>153</v>
      </c>
      <c r="N3" s="14" t="s">
        <v>154</v>
      </c>
      <c r="O3" s="6" t="s">
        <v>102</v>
      </c>
      <c r="P3" s="6" t="s">
        <v>103</v>
      </c>
      <c r="Q3" s="6" t="s">
        <v>104</v>
      </c>
      <c r="R3" s="6" t="s">
        <v>155</v>
      </c>
      <c r="S3" s="6" t="s">
        <v>106</v>
      </c>
      <c r="T3" s="6" t="s">
        <v>107</v>
      </c>
      <c r="U3" s="6" t="s">
        <v>108</v>
      </c>
      <c r="V3" s="6" t="s">
        <v>109</v>
      </c>
      <c r="W3" s="6" t="s">
        <v>110</v>
      </c>
      <c r="X3" s="6" t="s">
        <v>111</v>
      </c>
      <c r="Y3" s="6" t="s">
        <v>112</v>
      </c>
      <c r="Z3" s="6" t="s">
        <v>113</v>
      </c>
      <c r="AA3" s="6" t="s">
        <v>156</v>
      </c>
    </row>
    <row r="4" ht="35" customHeight="1" spans="1:27">
      <c r="A4" s="5" t="s">
        <v>77</v>
      </c>
      <c r="B4" s="2" t="s">
        <v>122</v>
      </c>
      <c r="C4" s="2" t="s">
        <v>122</v>
      </c>
      <c r="D4" s="2" t="s">
        <v>78</v>
      </c>
      <c r="E4" s="2" t="s">
        <v>157</v>
      </c>
      <c r="F4" s="2" t="s">
        <v>78</v>
      </c>
      <c r="G4" s="2"/>
      <c r="H4" s="2"/>
      <c r="I4" s="2" t="s">
        <v>78</v>
      </c>
      <c r="J4" s="2" t="s">
        <v>78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79</v>
      </c>
      <c r="P4" s="2" t="s">
        <v>79</v>
      </c>
      <c r="Q4" s="2" t="s">
        <v>124</v>
      </c>
      <c r="R4" s="2" t="s">
        <v>124</v>
      </c>
      <c r="S4" s="2" t="s">
        <v>125</v>
      </c>
      <c r="T4" s="2" t="s">
        <v>79</v>
      </c>
      <c r="U4" s="2" t="s">
        <v>78</v>
      </c>
      <c r="V4" s="2" t="s">
        <v>78</v>
      </c>
      <c r="W4" s="2" t="s">
        <v>79</v>
      </c>
      <c r="X4" s="2" t="s">
        <v>79</v>
      </c>
      <c r="Y4" s="2" t="s">
        <v>79</v>
      </c>
      <c r="Z4" s="2" t="s">
        <v>79</v>
      </c>
      <c r="AA4" s="2" t="s">
        <v>158</v>
      </c>
    </row>
    <row r="5" ht="35" customHeight="1" spans="1:27">
      <c r="A5" s="5" t="s">
        <v>80</v>
      </c>
      <c r="B5" s="2" t="s">
        <v>84</v>
      </c>
      <c r="C5" s="2" t="s">
        <v>84</v>
      </c>
      <c r="D5" s="15"/>
      <c r="E5" s="2" t="s">
        <v>84</v>
      </c>
      <c r="F5" s="2" t="s">
        <v>84</v>
      </c>
      <c r="G5" s="2"/>
      <c r="H5" s="2"/>
      <c r="I5" s="2" t="s">
        <v>84</v>
      </c>
      <c r="J5" s="2" t="s">
        <v>84</v>
      </c>
      <c r="K5" s="138" t="s">
        <v>84</v>
      </c>
      <c r="L5" s="2"/>
      <c r="M5" s="2"/>
      <c r="N5" s="2"/>
      <c r="O5" s="2"/>
      <c r="P5" s="2"/>
      <c r="Q5" s="2"/>
      <c r="R5" s="2"/>
      <c r="S5" s="2" t="s">
        <v>84</v>
      </c>
      <c r="T5" s="2" t="s">
        <v>84</v>
      </c>
      <c r="U5" s="2" t="s">
        <v>84</v>
      </c>
      <c r="V5" s="2" t="s">
        <v>84</v>
      </c>
      <c r="W5" s="2"/>
      <c r="X5" s="2"/>
      <c r="Y5" s="2"/>
      <c r="Z5" s="2"/>
      <c r="AA5" s="2"/>
    </row>
    <row r="6" ht="35" customHeight="1" spans="1:27">
      <c r="A6" s="46" t="s">
        <v>126</v>
      </c>
      <c r="B6" s="2" t="s">
        <v>84</v>
      </c>
      <c r="C6" s="2" t="s">
        <v>84</v>
      </c>
      <c r="D6" s="15"/>
      <c r="E6" s="2" t="s">
        <v>84</v>
      </c>
      <c r="F6" s="2" t="s">
        <v>84</v>
      </c>
      <c r="G6" s="2"/>
      <c r="H6" s="2"/>
      <c r="I6" s="2" t="s">
        <v>84</v>
      </c>
      <c r="J6" s="2" t="s">
        <v>84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 t="s">
        <v>84</v>
      </c>
      <c r="W6" s="2"/>
      <c r="X6" s="15"/>
      <c r="Y6" s="15"/>
      <c r="Z6" s="15"/>
      <c r="AA6" s="15"/>
    </row>
    <row r="7" ht="34" customHeight="1" spans="1:27">
      <c r="A7" s="5" t="s">
        <v>81</v>
      </c>
      <c r="B7" s="2" t="s">
        <v>84</v>
      </c>
      <c r="C7" s="2" t="s">
        <v>84</v>
      </c>
      <c r="D7" s="15"/>
      <c r="E7" s="2" t="s">
        <v>84</v>
      </c>
      <c r="F7" s="2" t="s">
        <v>84</v>
      </c>
      <c r="G7" s="2"/>
      <c r="H7" s="2"/>
      <c r="I7" s="2" t="s">
        <v>84</v>
      </c>
      <c r="J7" s="2" t="s">
        <v>84</v>
      </c>
      <c r="K7" s="138" t="s">
        <v>84</v>
      </c>
      <c r="L7" s="2"/>
      <c r="M7" s="2"/>
      <c r="N7" s="2"/>
      <c r="O7" s="2"/>
      <c r="P7" s="2"/>
      <c r="Q7" s="2"/>
      <c r="R7" s="2"/>
      <c r="S7" s="2" t="s">
        <v>84</v>
      </c>
      <c r="T7" s="2"/>
      <c r="U7" s="2"/>
      <c r="V7" s="2"/>
      <c r="W7" s="2"/>
      <c r="X7" s="15"/>
      <c r="Y7" s="15"/>
      <c r="Z7" s="15"/>
      <c r="AA7" s="15"/>
    </row>
    <row r="8" ht="43" customHeight="1" spans="1:27">
      <c r="A8" s="10" t="s">
        <v>82</v>
      </c>
      <c r="B8" s="2"/>
      <c r="C8" s="2"/>
      <c r="D8" s="15"/>
      <c r="E8" s="2"/>
      <c r="F8" s="2"/>
      <c r="G8" s="2"/>
      <c r="H8" s="2"/>
      <c r="I8" s="2"/>
      <c r="J8" s="2"/>
      <c r="K8" s="2"/>
      <c r="L8" s="2"/>
      <c r="M8" s="2"/>
      <c r="N8" s="2" t="s">
        <v>84</v>
      </c>
      <c r="O8" s="2" t="s">
        <v>84</v>
      </c>
      <c r="P8" s="2" t="s">
        <v>84</v>
      </c>
      <c r="Q8" s="2"/>
      <c r="R8" s="2"/>
      <c r="S8" s="2"/>
      <c r="T8" s="2"/>
      <c r="U8" s="2"/>
      <c r="V8" s="2"/>
      <c r="W8" s="2" t="s">
        <v>84</v>
      </c>
      <c r="X8" s="2" t="s">
        <v>84</v>
      </c>
      <c r="Y8" s="2" t="s">
        <v>84</v>
      </c>
      <c r="Z8" s="2" t="s">
        <v>84</v>
      </c>
      <c r="AA8" s="2"/>
    </row>
    <row r="9" ht="21" customHeight="1" spans="1:27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 t="s">
        <v>84</v>
      </c>
      <c r="I9" s="2"/>
      <c r="J9" s="2"/>
      <c r="K9" s="138" t="s">
        <v>84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5" customHeight="1" spans="1:2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Height="1" spans="1:27">
      <c r="A11" s="11" t="s">
        <v>85</v>
      </c>
      <c r="B11" s="11"/>
      <c r="C11" s="11" t="s">
        <v>159</v>
      </c>
      <c r="D11" s="158" t="s">
        <v>132</v>
      </c>
      <c r="E11" s="11" t="s">
        <v>160</v>
      </c>
      <c r="F11" s="2" t="s">
        <v>161</v>
      </c>
      <c r="G11" s="2"/>
      <c r="H11" s="2"/>
      <c r="I11" s="2" t="s">
        <v>162</v>
      </c>
      <c r="J11" s="2" t="s">
        <v>162</v>
      </c>
      <c r="K11" s="11" t="s">
        <v>163</v>
      </c>
      <c r="L11" s="11"/>
      <c r="M11" s="11"/>
      <c r="N11" s="11" t="s">
        <v>164</v>
      </c>
      <c r="O11" s="159">
        <f>P11*0.45359237</f>
        <v>9.0718474</v>
      </c>
      <c r="P11" s="159">
        <v>20</v>
      </c>
      <c r="Q11" s="159">
        <f>R11*0.45359237</f>
        <v>9.97903214</v>
      </c>
      <c r="R11" s="159">
        <v>22</v>
      </c>
      <c r="S11" s="160">
        <v>1</v>
      </c>
      <c r="T11" s="2" t="s">
        <v>135</v>
      </c>
      <c r="U11" s="2" t="s">
        <v>136</v>
      </c>
      <c r="V11" s="11">
        <v>5</v>
      </c>
      <c r="W11" s="161">
        <v>235</v>
      </c>
      <c r="X11" s="100">
        <f>W11*0.3937</f>
        <v>92.5195</v>
      </c>
      <c r="Y11" s="160">
        <f>0.45359237*Z11</f>
        <v>181.436948</v>
      </c>
      <c r="Z11" s="11">
        <v>400</v>
      </c>
      <c r="AA11" s="11"/>
    </row>
    <row r="12" customHeight="1" spans="1:27">
      <c r="A12" s="13"/>
      <c r="B12" s="11"/>
      <c r="C12" s="11" t="s">
        <v>165</v>
      </c>
      <c r="D12" s="158" t="s">
        <v>132</v>
      </c>
      <c r="E12" s="11" t="s">
        <v>166</v>
      </c>
      <c r="F12" s="2" t="s">
        <v>167</v>
      </c>
      <c r="G12" s="2"/>
      <c r="H12" s="2"/>
      <c r="I12" s="2">
        <v>110</v>
      </c>
      <c r="J12" s="2">
        <v>50</v>
      </c>
      <c r="K12" s="11" t="s">
        <v>168</v>
      </c>
      <c r="L12" s="11"/>
      <c r="M12" s="11"/>
      <c r="N12" s="11" t="s">
        <v>169</v>
      </c>
      <c r="O12" s="159">
        <f>P12*0.45359237</f>
        <v>10.88621688</v>
      </c>
      <c r="P12" s="159">
        <v>24</v>
      </c>
      <c r="Q12" s="159">
        <f>R12*0.45359237</f>
        <v>11.79340162</v>
      </c>
      <c r="R12" s="159">
        <v>26</v>
      </c>
      <c r="S12" s="160">
        <v>1</v>
      </c>
      <c r="T12" s="2" t="s">
        <v>135</v>
      </c>
      <c r="U12" s="2" t="s">
        <v>136</v>
      </c>
      <c r="V12" s="11">
        <v>6</v>
      </c>
      <c r="W12" s="161">
        <v>330</v>
      </c>
      <c r="X12" s="100">
        <f>W12*0.3937</f>
        <v>129.921</v>
      </c>
      <c r="Y12" s="160">
        <f>0.45359237*Z12</f>
        <v>163.2932532</v>
      </c>
      <c r="Z12" s="11">
        <v>360</v>
      </c>
      <c r="AA12" s="11"/>
    </row>
    <row r="13" customHeight="1" spans="1:27">
      <c r="A13" s="13"/>
      <c r="B13" s="11"/>
      <c r="C13" s="11" t="s">
        <v>170</v>
      </c>
      <c r="D13" s="158" t="s">
        <v>132</v>
      </c>
      <c r="E13" s="11" t="s">
        <v>171</v>
      </c>
      <c r="F13" s="2" t="s">
        <v>172</v>
      </c>
      <c r="G13" s="2"/>
      <c r="H13" s="2"/>
      <c r="I13" s="2" t="s">
        <v>162</v>
      </c>
      <c r="J13" s="2" t="s">
        <v>162</v>
      </c>
      <c r="K13" s="11" t="s">
        <v>163</v>
      </c>
      <c r="L13" s="11"/>
      <c r="M13" s="11"/>
      <c r="N13" s="11" t="s">
        <v>164</v>
      </c>
      <c r="O13" s="159">
        <f>P13*0.45359237</f>
        <v>12.70058636</v>
      </c>
      <c r="P13" s="159">
        <v>28</v>
      </c>
      <c r="Q13" s="159">
        <f>R13*0.45359237</f>
        <v>13.6077711</v>
      </c>
      <c r="R13" s="159">
        <v>30</v>
      </c>
      <c r="S13" s="160">
        <v>1</v>
      </c>
      <c r="T13" s="2" t="s">
        <v>135</v>
      </c>
      <c r="U13" s="2" t="s">
        <v>136</v>
      </c>
      <c r="V13" s="11">
        <v>7</v>
      </c>
      <c r="W13" s="161">
        <v>330</v>
      </c>
      <c r="X13" s="100">
        <f>W13*0.3937</f>
        <v>129.921</v>
      </c>
      <c r="Y13" s="160">
        <f>0.45359237*Z13</f>
        <v>272.155422</v>
      </c>
      <c r="Z13" s="11">
        <v>600</v>
      </c>
      <c r="AA13" s="11"/>
    </row>
    <row r="14" customHeight="1" spans="1:27">
      <c r="A14" s="13"/>
      <c r="B14" s="11"/>
      <c r="C14" s="11" t="s">
        <v>173</v>
      </c>
      <c r="D14" s="158" t="s">
        <v>132</v>
      </c>
      <c r="E14" s="11" t="s">
        <v>174</v>
      </c>
      <c r="F14" s="2" t="s">
        <v>175</v>
      </c>
      <c r="G14" s="2"/>
      <c r="H14" s="2"/>
      <c r="I14" s="2" t="s">
        <v>162</v>
      </c>
      <c r="J14" s="2" t="s">
        <v>162</v>
      </c>
      <c r="K14" s="11" t="s">
        <v>168</v>
      </c>
      <c r="L14" s="11"/>
      <c r="M14" s="11"/>
      <c r="N14" s="11" t="s">
        <v>169</v>
      </c>
      <c r="O14" s="159">
        <f>P14*0.45359237</f>
        <v>14.51495584</v>
      </c>
      <c r="P14" s="159">
        <v>32</v>
      </c>
      <c r="Q14" s="159">
        <f>R14*0.45359237</f>
        <v>15.42214058</v>
      </c>
      <c r="R14" s="159">
        <v>34</v>
      </c>
      <c r="S14" s="160">
        <v>1</v>
      </c>
      <c r="T14" s="2" t="s">
        <v>135</v>
      </c>
      <c r="U14" s="2" t="s">
        <v>136</v>
      </c>
      <c r="V14" s="11">
        <v>8</v>
      </c>
      <c r="W14" s="161">
        <v>235</v>
      </c>
      <c r="X14" s="100">
        <f>W14*0.3937</f>
        <v>92.5195</v>
      </c>
      <c r="Y14" s="160">
        <f>0.45359237*Z14</f>
        <v>90.718474</v>
      </c>
      <c r="Z14" s="11">
        <v>200</v>
      </c>
      <c r="AA14" s="11"/>
    </row>
    <row r="15" customHeight="1" spans="1:27">
      <c r="A15" s="13"/>
      <c r="B15" s="11"/>
      <c r="C15" s="11" t="s">
        <v>176</v>
      </c>
      <c r="D15" s="158" t="s">
        <v>132</v>
      </c>
      <c r="E15" s="11" t="s">
        <v>177</v>
      </c>
      <c r="F15" s="2" t="s">
        <v>178</v>
      </c>
      <c r="G15" s="2"/>
      <c r="H15" s="2"/>
      <c r="I15" s="2">
        <v>110</v>
      </c>
      <c r="J15" s="2">
        <v>50</v>
      </c>
      <c r="K15" s="11" t="s">
        <v>163</v>
      </c>
      <c r="L15" s="11"/>
      <c r="M15" s="11"/>
      <c r="N15" s="11" t="s">
        <v>164</v>
      </c>
      <c r="O15" s="159">
        <f>P15*0.45359237</f>
        <v>16.32932532</v>
      </c>
      <c r="P15" s="159">
        <v>36</v>
      </c>
      <c r="Q15" s="159">
        <f>R15*0.45359237</f>
        <v>17.23651006</v>
      </c>
      <c r="R15" s="159">
        <v>38</v>
      </c>
      <c r="S15" s="160">
        <v>1</v>
      </c>
      <c r="T15" s="2" t="s">
        <v>135</v>
      </c>
      <c r="U15" s="2" t="s">
        <v>136</v>
      </c>
      <c r="V15" s="11">
        <v>4</v>
      </c>
      <c r="W15" s="161">
        <v>330</v>
      </c>
      <c r="X15" s="100">
        <f>W15*0.3937</f>
        <v>129.921</v>
      </c>
      <c r="Y15" s="160">
        <f>0.45359237*Z15</f>
        <v>226.796185</v>
      </c>
      <c r="Z15" s="11">
        <v>500</v>
      </c>
      <c r="AA15" s="11"/>
    </row>
    <row r="16" customHeight="1" spans="1:27">
      <c r="A16" s="13"/>
      <c r="B16" s="11"/>
      <c r="C16" s="11"/>
      <c r="D16" s="11"/>
      <c r="E16" s="11"/>
      <c r="F16" s="2"/>
      <c r="G16" s="2"/>
      <c r="H16" s="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customHeight="1" spans="1:27">
      <c r="A17" s="13"/>
      <c r="B17" s="11"/>
      <c r="C17" s="11"/>
      <c r="D17" s="11"/>
      <c r="E17" s="11"/>
      <c r="F17" s="2"/>
      <c r="G17" s="2"/>
      <c r="H17" s="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customHeight="1" spans="1:27">
      <c r="A18" s="13"/>
      <c r="B18" s="11"/>
      <c r="C18" s="11"/>
      <c r="D18" s="11"/>
      <c r="E18" s="11"/>
      <c r="F18" s="2"/>
      <c r="G18" s="2"/>
      <c r="H18" s="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customHeight="1" spans="1:27">
      <c r="A19" s="13"/>
      <c r="B19" s="11"/>
      <c r="C19" s="11"/>
      <c r="D19" s="11"/>
      <c r="E19" s="11"/>
      <c r="F19" s="2"/>
      <c r="G19" s="2"/>
      <c r="H19" s="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</sheetData>
  <mergeCells count="2">
    <mergeCell ref="B2:AA2"/>
    <mergeCell ref="A11:A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A25"/>
  <sheetViews>
    <sheetView zoomScale="85" zoomScaleNormal="8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1" max="3" width="10" style="73"/>
    <col min="4" max="4" width="12.3055555555556" style="73" customWidth="1"/>
    <col min="5" max="10" width="10" style="73"/>
    <col min="11" max="11" width="10" style="126"/>
    <col min="12" max="14" width="10" style="73"/>
    <col min="15" max="15" width="14.9236111111111" style="73" customWidth="1"/>
    <col min="16" max="16" width="14.5347222222222" style="73" customWidth="1"/>
    <col min="17" max="17" width="29" style="73" customWidth="1"/>
    <col min="18" max="18" width="33.7638888888889" style="73" customWidth="1"/>
    <col min="19" max="24" width="10" style="73"/>
    <col min="25" max="25" width="14.9236111111111" style="73" customWidth="1"/>
    <col min="26" max="28" width="13.3819444444444" style="73" customWidth="1"/>
    <col min="29" max="42" width="10" style="73"/>
    <col min="43" max="49" width="12.6944444444444" style="73" customWidth="1"/>
    <col min="50" max="53" width="10" style="73"/>
  </cols>
  <sheetData>
    <row r="1" customHeight="1" spans="1:53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</row>
    <row r="2" customHeight="1" spans="1:53">
      <c r="A2" s="16"/>
      <c r="B2" s="70" t="s">
        <v>179</v>
      </c>
      <c r="C2" s="128"/>
      <c r="D2" s="128"/>
      <c r="E2" s="128"/>
      <c r="F2" s="128"/>
      <c r="G2" s="128"/>
      <c r="H2" s="128"/>
      <c r="I2" s="128"/>
      <c r="J2" s="128"/>
      <c r="K2" s="136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</row>
    <row r="3" ht="41.25" customHeight="1" spans="1:53">
      <c r="A3" s="5" t="s">
        <v>73</v>
      </c>
      <c r="B3" s="6" t="s">
        <v>180</v>
      </c>
      <c r="C3" s="129" t="s">
        <v>181</v>
      </c>
      <c r="D3" s="6" t="s">
        <v>182</v>
      </c>
      <c r="E3" s="6" t="s">
        <v>183</v>
      </c>
      <c r="F3" s="6" t="s">
        <v>184</v>
      </c>
      <c r="G3" s="6" t="s">
        <v>185</v>
      </c>
      <c r="H3" s="6" t="s">
        <v>186</v>
      </c>
      <c r="I3" s="6" t="s">
        <v>187</v>
      </c>
      <c r="J3" s="6" t="s">
        <v>188</v>
      </c>
      <c r="K3" s="138" t="s">
        <v>189</v>
      </c>
      <c r="L3" s="129" t="s">
        <v>190</v>
      </c>
      <c r="M3" s="6" t="s">
        <v>191</v>
      </c>
      <c r="N3" s="6" t="s">
        <v>74</v>
      </c>
      <c r="O3" s="6" t="s">
        <v>192</v>
      </c>
      <c r="P3" s="6" t="s">
        <v>193</v>
      </c>
      <c r="Q3" s="6" t="s">
        <v>75</v>
      </c>
      <c r="R3" s="6" t="s">
        <v>76</v>
      </c>
      <c r="S3" s="6" t="s">
        <v>97</v>
      </c>
      <c r="T3" s="6" t="s">
        <v>194</v>
      </c>
      <c r="U3" s="6" t="s">
        <v>195</v>
      </c>
      <c r="V3" s="6" t="s">
        <v>196</v>
      </c>
      <c r="W3" s="6" t="s">
        <v>197</v>
      </c>
      <c r="X3" s="6" t="s">
        <v>198</v>
      </c>
      <c r="Y3" s="6" t="s">
        <v>98</v>
      </c>
      <c r="Z3" s="6" t="s">
        <v>99</v>
      </c>
      <c r="AA3" s="6" t="s">
        <v>152</v>
      </c>
      <c r="AB3" s="6" t="s">
        <v>153</v>
      </c>
      <c r="AC3" s="6" t="s">
        <v>102</v>
      </c>
      <c r="AD3" s="6" t="s">
        <v>103</v>
      </c>
      <c r="AE3" s="6" t="s">
        <v>199</v>
      </c>
      <c r="AF3" s="6" t="s">
        <v>155</v>
      </c>
      <c r="AG3" s="6" t="s">
        <v>106</v>
      </c>
      <c r="AH3" s="6" t="s">
        <v>200</v>
      </c>
      <c r="AI3" s="6" t="s">
        <v>107</v>
      </c>
      <c r="AJ3" s="6" t="s">
        <v>108</v>
      </c>
      <c r="AK3" s="6" t="s">
        <v>201</v>
      </c>
      <c r="AL3" s="6" t="s">
        <v>202</v>
      </c>
      <c r="AM3" s="6" t="s">
        <v>203</v>
      </c>
      <c r="AN3" s="6" t="s">
        <v>204</v>
      </c>
      <c r="AO3" s="6" t="s">
        <v>205</v>
      </c>
      <c r="AP3" s="6" t="s">
        <v>206</v>
      </c>
      <c r="AQ3" s="6" t="s">
        <v>207</v>
      </c>
      <c r="AR3" s="6" t="s">
        <v>208</v>
      </c>
      <c r="AS3" s="6" t="s">
        <v>110</v>
      </c>
      <c r="AT3" s="6" t="s">
        <v>209</v>
      </c>
      <c r="AU3" s="6" t="s">
        <v>210</v>
      </c>
      <c r="AV3" s="6" t="s">
        <v>112</v>
      </c>
      <c r="AW3" s="6" t="s">
        <v>211</v>
      </c>
      <c r="AX3" s="6" t="s">
        <v>212</v>
      </c>
      <c r="AY3" s="6" t="s">
        <v>213</v>
      </c>
      <c r="AZ3" s="6" t="s">
        <v>214</v>
      </c>
      <c r="BA3" s="6" t="s">
        <v>215</v>
      </c>
    </row>
    <row r="4" ht="62" customHeight="1" spans="1:53">
      <c r="A4" s="5" t="s">
        <v>114</v>
      </c>
      <c r="B4" s="2" t="s">
        <v>115</v>
      </c>
      <c r="C4" s="2" t="s">
        <v>115</v>
      </c>
      <c r="D4" s="130" t="s">
        <v>216</v>
      </c>
      <c r="E4" s="130" t="s">
        <v>217</v>
      </c>
      <c r="F4" s="130" t="s">
        <v>217</v>
      </c>
      <c r="G4" s="130" t="s">
        <v>218</v>
      </c>
      <c r="H4" s="130" t="s">
        <v>218</v>
      </c>
      <c r="I4" s="130" t="s">
        <v>219</v>
      </c>
      <c r="J4" s="130" t="s">
        <v>219</v>
      </c>
      <c r="K4" s="139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</row>
    <row r="5" customFormat="1" ht="44.5" customHeight="1" spans="1:53">
      <c r="A5" s="5" t="s">
        <v>118</v>
      </c>
      <c r="B5" s="2" t="s">
        <v>119</v>
      </c>
      <c r="C5" s="2" t="s">
        <v>220</v>
      </c>
      <c r="D5" s="130" t="s">
        <v>221</v>
      </c>
      <c r="E5" s="130" t="s">
        <v>222</v>
      </c>
      <c r="F5" s="130" t="s">
        <v>222</v>
      </c>
      <c r="G5" s="130" t="s">
        <v>222</v>
      </c>
      <c r="H5" s="130" t="s">
        <v>222</v>
      </c>
      <c r="I5" s="130" t="s">
        <v>222</v>
      </c>
      <c r="J5" s="130" t="s">
        <v>222</v>
      </c>
      <c r="K5" s="139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</row>
    <row r="6" ht="60" customHeight="1" spans="1:53">
      <c r="A6" s="131" t="s">
        <v>77</v>
      </c>
      <c r="B6" s="37" t="s">
        <v>121</v>
      </c>
      <c r="C6" s="120" t="s">
        <v>223</v>
      </c>
      <c r="D6" s="120" t="s">
        <v>224</v>
      </c>
      <c r="E6" s="135" t="s">
        <v>225</v>
      </c>
      <c r="F6" s="135" t="s">
        <v>225</v>
      </c>
      <c r="G6" s="135" t="s">
        <v>225</v>
      </c>
      <c r="H6" s="135" t="s">
        <v>225</v>
      </c>
      <c r="I6" s="135" t="s">
        <v>225</v>
      </c>
      <c r="J6" s="135" t="s">
        <v>225</v>
      </c>
      <c r="K6" s="140"/>
      <c r="L6" s="141" t="s">
        <v>226</v>
      </c>
      <c r="M6" s="145" t="s">
        <v>227</v>
      </c>
      <c r="N6" s="120" t="s">
        <v>78</v>
      </c>
      <c r="O6" s="120" t="s">
        <v>78</v>
      </c>
      <c r="P6" s="120" t="s">
        <v>78</v>
      </c>
      <c r="Q6" s="120" t="s">
        <v>78</v>
      </c>
      <c r="R6" s="120" t="s">
        <v>78</v>
      </c>
      <c r="S6" s="120" t="s">
        <v>78</v>
      </c>
      <c r="T6" s="120" t="s">
        <v>78</v>
      </c>
      <c r="U6" s="120" t="s">
        <v>78</v>
      </c>
      <c r="V6" s="120" t="s">
        <v>78</v>
      </c>
      <c r="W6" s="120" t="s">
        <v>78</v>
      </c>
      <c r="X6" s="120" t="s">
        <v>78</v>
      </c>
      <c r="Y6" s="37" t="s">
        <v>79</v>
      </c>
      <c r="Z6" s="37" t="s">
        <v>79</v>
      </c>
      <c r="AA6" s="37" t="s">
        <v>79</v>
      </c>
      <c r="AB6" s="37" t="s">
        <v>79</v>
      </c>
      <c r="AC6" s="37" t="s">
        <v>79</v>
      </c>
      <c r="AD6" s="37" t="s">
        <v>79</v>
      </c>
      <c r="AE6" s="120" t="s">
        <v>124</v>
      </c>
      <c r="AF6" s="120" t="s">
        <v>124</v>
      </c>
      <c r="AG6" s="120" t="s">
        <v>125</v>
      </c>
      <c r="AH6" s="145" t="s">
        <v>227</v>
      </c>
      <c r="AI6" s="37" t="s">
        <v>79</v>
      </c>
      <c r="AJ6" s="120" t="s">
        <v>78</v>
      </c>
      <c r="AK6" s="120" t="s">
        <v>78</v>
      </c>
      <c r="AL6" s="37" t="s">
        <v>79</v>
      </c>
      <c r="AM6" s="37" t="s">
        <v>79</v>
      </c>
      <c r="AN6" s="37" t="s">
        <v>79</v>
      </c>
      <c r="AO6" s="37" t="s">
        <v>79</v>
      </c>
      <c r="AP6" s="120" t="s">
        <v>78</v>
      </c>
      <c r="AQ6" s="37" t="s">
        <v>79</v>
      </c>
      <c r="AR6" s="37" t="s">
        <v>79</v>
      </c>
      <c r="AS6" s="37" t="s">
        <v>79</v>
      </c>
      <c r="AT6" s="120" t="s">
        <v>78</v>
      </c>
      <c r="AU6" s="120" t="s">
        <v>78</v>
      </c>
      <c r="AV6" s="120" t="s">
        <v>78</v>
      </c>
      <c r="AW6" s="120" t="s">
        <v>78</v>
      </c>
      <c r="AX6" s="120" t="s">
        <v>78</v>
      </c>
      <c r="AY6" s="120" t="s">
        <v>78</v>
      </c>
      <c r="AZ6" s="120" t="s">
        <v>78</v>
      </c>
      <c r="BA6" s="120" t="s">
        <v>78</v>
      </c>
    </row>
    <row r="7" ht="41.25" customHeight="1" spans="1:53">
      <c r="A7" s="19" t="s">
        <v>80</v>
      </c>
      <c r="B7" s="23" t="s">
        <v>84</v>
      </c>
      <c r="C7" s="56"/>
      <c r="D7" s="56"/>
      <c r="E7" s="56"/>
      <c r="F7" s="56"/>
      <c r="G7" s="56"/>
      <c r="H7" s="56"/>
      <c r="I7" s="56"/>
      <c r="J7" s="56"/>
      <c r="K7" s="142" t="s">
        <v>84</v>
      </c>
      <c r="L7" s="23" t="s">
        <v>84</v>
      </c>
      <c r="M7" s="23" t="s">
        <v>84</v>
      </c>
      <c r="N7" s="23" t="s">
        <v>84</v>
      </c>
      <c r="O7" s="23" t="s">
        <v>84</v>
      </c>
      <c r="P7" s="23" t="s">
        <v>84</v>
      </c>
      <c r="Q7" s="23" t="s">
        <v>84</v>
      </c>
      <c r="R7" s="23" t="s">
        <v>84</v>
      </c>
      <c r="S7" s="23"/>
      <c r="T7" s="23" t="s">
        <v>84</v>
      </c>
      <c r="U7" s="23" t="s">
        <v>84</v>
      </c>
      <c r="V7" s="9"/>
      <c r="W7" s="9"/>
      <c r="X7" s="23"/>
      <c r="Y7" s="38"/>
      <c r="Z7" s="38"/>
      <c r="AA7" s="38"/>
      <c r="AB7" s="142" t="s">
        <v>84</v>
      </c>
      <c r="AC7" s="38"/>
      <c r="AD7" s="38"/>
      <c r="AE7" s="38"/>
      <c r="AF7" s="38"/>
      <c r="AG7" s="23" t="s">
        <v>84</v>
      </c>
      <c r="AH7" s="2"/>
      <c r="AI7" s="38"/>
      <c r="AJ7" s="38"/>
      <c r="AK7" s="2"/>
      <c r="AL7" s="38"/>
      <c r="AM7" s="38"/>
      <c r="AN7" s="38"/>
      <c r="AO7" s="38"/>
      <c r="AP7" s="2"/>
      <c r="AQ7" s="38"/>
      <c r="AR7" s="38"/>
      <c r="AS7" s="38"/>
      <c r="AT7" s="38"/>
      <c r="AU7" s="2"/>
      <c r="AV7" s="150"/>
      <c r="AW7" s="152"/>
      <c r="AX7" s="153"/>
      <c r="AY7" s="42"/>
      <c r="AZ7" s="38"/>
      <c r="BA7" s="38"/>
    </row>
    <row r="8" ht="41.25" customHeight="1" spans="1:53">
      <c r="A8" s="19" t="s">
        <v>81</v>
      </c>
      <c r="B8" s="23" t="s">
        <v>84</v>
      </c>
      <c r="C8" s="56"/>
      <c r="D8" s="56"/>
      <c r="E8" s="56"/>
      <c r="F8" s="56"/>
      <c r="G8" s="56"/>
      <c r="H8" s="56"/>
      <c r="I8" s="56"/>
      <c r="J8" s="56"/>
      <c r="K8" s="142" t="s">
        <v>84</v>
      </c>
      <c r="L8" s="143"/>
      <c r="M8" s="23" t="s">
        <v>84</v>
      </c>
      <c r="N8" s="23" t="s">
        <v>84</v>
      </c>
      <c r="O8" s="23" t="s">
        <v>84</v>
      </c>
      <c r="P8" s="23" t="s">
        <v>84</v>
      </c>
      <c r="Q8" s="23" t="s">
        <v>84</v>
      </c>
      <c r="R8" s="23" t="s">
        <v>84</v>
      </c>
      <c r="S8" s="23"/>
      <c r="T8" s="23" t="s">
        <v>84</v>
      </c>
      <c r="U8" s="23" t="s">
        <v>84</v>
      </c>
      <c r="V8" s="9"/>
      <c r="W8" s="9"/>
      <c r="X8" s="23"/>
      <c r="Y8" s="38"/>
      <c r="Z8" s="38"/>
      <c r="AA8" s="38"/>
      <c r="AB8" s="142" t="s">
        <v>84</v>
      </c>
      <c r="AC8" s="38"/>
      <c r="AD8" s="38"/>
      <c r="AE8" s="38"/>
      <c r="AF8" s="38"/>
      <c r="AG8" s="23" t="s">
        <v>84</v>
      </c>
      <c r="AH8" s="2"/>
      <c r="AI8" s="38"/>
      <c r="AJ8" s="38"/>
      <c r="AK8" s="2"/>
      <c r="AL8" s="38"/>
      <c r="AM8" s="38"/>
      <c r="AN8" s="38"/>
      <c r="AO8" s="38"/>
      <c r="AP8" s="2"/>
      <c r="AQ8" s="38"/>
      <c r="AR8" s="38"/>
      <c r="AS8" s="38"/>
      <c r="AT8" s="38"/>
      <c r="AU8" s="2"/>
      <c r="AV8" s="150"/>
      <c r="AW8" s="152"/>
      <c r="AX8" s="153" t="s">
        <v>228</v>
      </c>
      <c r="AY8" s="42"/>
      <c r="AZ8" s="38"/>
      <c r="BA8" s="38"/>
    </row>
    <row r="9" ht="80" customHeight="1" spans="1:53">
      <c r="A9" s="19" t="s">
        <v>82</v>
      </c>
      <c r="B9" s="23"/>
      <c r="C9" s="56"/>
      <c r="D9" s="23" t="s">
        <v>84</v>
      </c>
      <c r="E9" s="23" t="s">
        <v>84</v>
      </c>
      <c r="F9" s="23" t="s">
        <v>84</v>
      </c>
      <c r="G9" s="23" t="s">
        <v>84</v>
      </c>
      <c r="H9" s="23" t="s">
        <v>84</v>
      </c>
      <c r="I9" s="23" t="s">
        <v>84</v>
      </c>
      <c r="J9" s="23" t="s">
        <v>84</v>
      </c>
      <c r="K9" s="142" t="s">
        <v>84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 t="s">
        <v>84</v>
      </c>
      <c r="W9" s="23" t="s">
        <v>84</v>
      </c>
      <c r="X9" s="23" t="s">
        <v>84</v>
      </c>
      <c r="Y9" s="23" t="s">
        <v>84</v>
      </c>
      <c r="Z9" s="23" t="s">
        <v>84</v>
      </c>
      <c r="AA9" s="23"/>
      <c r="AB9" s="23"/>
      <c r="AC9" s="23" t="s">
        <v>84</v>
      </c>
      <c r="AD9" s="23" t="s">
        <v>84</v>
      </c>
      <c r="AE9" s="23"/>
      <c r="AF9" s="23"/>
      <c r="AG9" s="23"/>
      <c r="AH9" s="23" t="s">
        <v>84</v>
      </c>
      <c r="AI9" s="23" t="s">
        <v>84</v>
      </c>
      <c r="AJ9" s="23"/>
      <c r="AK9" s="23" t="s">
        <v>84</v>
      </c>
      <c r="AL9" s="23" t="s">
        <v>84</v>
      </c>
      <c r="AM9" s="23" t="s">
        <v>84</v>
      </c>
      <c r="AN9" s="23" t="s">
        <v>84</v>
      </c>
      <c r="AO9" s="23" t="s">
        <v>84</v>
      </c>
      <c r="AP9" s="23" t="s">
        <v>84</v>
      </c>
      <c r="AQ9" s="23" t="s">
        <v>84</v>
      </c>
      <c r="AR9" s="23" t="s">
        <v>84</v>
      </c>
      <c r="AS9" s="23" t="s">
        <v>84</v>
      </c>
      <c r="AT9" s="23" t="s">
        <v>84</v>
      </c>
      <c r="AU9" s="23" t="s">
        <v>84</v>
      </c>
      <c r="AV9" s="23" t="s">
        <v>84</v>
      </c>
      <c r="AW9" s="23" t="s">
        <v>84</v>
      </c>
      <c r="AX9" s="23" t="s">
        <v>84</v>
      </c>
      <c r="AY9" s="23" t="s">
        <v>84</v>
      </c>
      <c r="AZ9" s="23" t="s">
        <v>84</v>
      </c>
      <c r="BA9" s="23" t="s">
        <v>84</v>
      </c>
    </row>
    <row r="10" ht="41.25" customHeight="1" spans="1:53">
      <c r="A10" s="19" t="s">
        <v>83</v>
      </c>
      <c r="B10" s="23"/>
      <c r="C10" s="56"/>
      <c r="D10" s="56"/>
      <c r="E10" s="56"/>
      <c r="F10" s="56"/>
      <c r="G10" s="56"/>
      <c r="H10" s="56"/>
      <c r="I10" s="56"/>
      <c r="J10" s="56"/>
      <c r="K10" s="142" t="s">
        <v>84</v>
      </c>
      <c r="L10" s="143"/>
      <c r="M10" s="23"/>
      <c r="N10" s="23" t="s">
        <v>84</v>
      </c>
      <c r="O10" s="23" t="s">
        <v>84</v>
      </c>
      <c r="P10" s="23" t="s">
        <v>84</v>
      </c>
      <c r="Q10" s="23" t="s">
        <v>84</v>
      </c>
      <c r="R10" s="23" t="s">
        <v>84</v>
      </c>
      <c r="S10" s="23" t="s">
        <v>84</v>
      </c>
      <c r="T10" s="143"/>
      <c r="U10" s="143"/>
      <c r="V10" s="9"/>
      <c r="W10" s="9"/>
      <c r="X10" s="146"/>
      <c r="Y10" s="148"/>
      <c r="Z10" s="149"/>
      <c r="AA10" s="149"/>
      <c r="AB10" s="142" t="s">
        <v>84</v>
      </c>
      <c r="AC10" s="149"/>
      <c r="AD10" s="149"/>
      <c r="AE10" s="149"/>
      <c r="AF10" s="149"/>
      <c r="AG10" s="123"/>
      <c r="AH10" s="25"/>
      <c r="AI10" s="44"/>
      <c r="AJ10" s="44"/>
      <c r="AK10" s="25"/>
      <c r="AL10" s="44"/>
      <c r="AM10" s="44"/>
      <c r="AN10" s="44"/>
      <c r="AO10" s="44"/>
      <c r="AP10" s="25"/>
      <c r="AQ10" s="44"/>
      <c r="AR10" s="44"/>
      <c r="AS10" s="44"/>
      <c r="AT10" s="44"/>
      <c r="AU10" s="25"/>
      <c r="AV10" s="151"/>
      <c r="AW10" s="154"/>
      <c r="AX10" s="155"/>
      <c r="AY10" s="43"/>
      <c r="AZ10" s="44"/>
      <c r="BA10" s="44"/>
    </row>
    <row r="11" customHeight="1" spans="1:53">
      <c r="A11" s="127"/>
      <c r="B11" s="9"/>
      <c r="C11" s="9" t="s">
        <v>162</v>
      </c>
      <c r="D11" s="9"/>
      <c r="E11" s="9">
        <v>10</v>
      </c>
      <c r="F11" s="9"/>
      <c r="G11" s="9">
        <v>20</v>
      </c>
      <c r="H11" s="9"/>
      <c r="I11" s="9">
        <v>10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300</v>
      </c>
      <c r="W11" s="9"/>
      <c r="X11" s="147"/>
      <c r="Y11" s="130"/>
      <c r="Z11" s="130"/>
      <c r="AA11" s="130"/>
      <c r="AB11" s="130"/>
      <c r="AC11" s="130"/>
      <c r="AD11" s="130"/>
      <c r="AE11" s="130"/>
      <c r="AF11" s="130"/>
      <c r="AG11" s="75">
        <v>1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customHeight="1" spans="1:53">
      <c r="A12" s="2" t="s">
        <v>127</v>
      </c>
      <c r="B12" s="75"/>
      <c r="C12" s="9" t="s">
        <v>229</v>
      </c>
      <c r="D12" s="132" t="s">
        <v>230</v>
      </c>
      <c r="E12" s="9">
        <v>13</v>
      </c>
      <c r="F12" s="9"/>
      <c r="G12" s="9">
        <v>25</v>
      </c>
      <c r="H12" s="9"/>
      <c r="I12" s="132">
        <v>13</v>
      </c>
      <c r="J12" s="132"/>
      <c r="K12" s="132"/>
      <c r="L12" s="132"/>
      <c r="M12" s="9"/>
      <c r="N12" s="9"/>
      <c r="O12" s="9"/>
      <c r="P12" s="9"/>
      <c r="Q12" s="9"/>
      <c r="R12" s="9"/>
      <c r="S12" s="9"/>
      <c r="T12" s="9"/>
      <c r="U12" s="9"/>
      <c r="V12" s="9">
        <v>450</v>
      </c>
      <c r="W12" s="9"/>
      <c r="X12" s="147"/>
      <c r="Y12" s="130"/>
      <c r="Z12" s="130"/>
      <c r="AA12" s="130"/>
      <c r="AB12" s="130"/>
      <c r="AC12" s="130"/>
      <c r="AD12" s="130"/>
      <c r="AE12" s="130"/>
      <c r="AF12" s="130"/>
      <c r="AG12" s="75">
        <v>2</v>
      </c>
      <c r="AH12" s="9"/>
      <c r="AI12" s="84"/>
      <c r="AJ12" s="84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customHeight="1" spans="1:53">
      <c r="A13" s="133"/>
      <c r="B13" s="75"/>
      <c r="C13" s="9" t="s">
        <v>33</v>
      </c>
      <c r="D13" s="132" t="s">
        <v>231</v>
      </c>
      <c r="E13" s="9">
        <v>15</v>
      </c>
      <c r="F13" s="9"/>
      <c r="G13" s="9">
        <v>30</v>
      </c>
      <c r="H13" s="9"/>
      <c r="I13" s="9">
        <v>14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>
        <v>600</v>
      </c>
      <c r="W13" s="9"/>
      <c r="X13" s="147"/>
      <c r="Y13" s="130"/>
      <c r="Z13" s="130"/>
      <c r="AA13" s="130"/>
      <c r="AB13" s="130"/>
      <c r="AC13" s="130"/>
      <c r="AD13" s="130"/>
      <c r="AE13" s="130"/>
      <c r="AF13" s="130"/>
      <c r="AG13" s="75">
        <v>3</v>
      </c>
      <c r="AH13" s="9"/>
      <c r="AI13" s="84"/>
      <c r="AJ13" s="84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customHeight="1" spans="1:53">
      <c r="A14" s="133"/>
      <c r="B14" s="75"/>
      <c r="C14" s="9" t="s">
        <v>232</v>
      </c>
      <c r="D14" s="132" t="s">
        <v>233</v>
      </c>
      <c r="E14" s="9">
        <v>17</v>
      </c>
      <c r="F14" s="9"/>
      <c r="G14" s="9">
        <v>40</v>
      </c>
      <c r="H14" s="9"/>
      <c r="I14" s="9">
        <v>15.7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>
        <v>700</v>
      </c>
      <c r="W14" s="9"/>
      <c r="X14" s="147"/>
      <c r="Y14" s="130"/>
      <c r="Z14" s="130"/>
      <c r="AA14" s="130"/>
      <c r="AB14" s="130"/>
      <c r="AC14" s="130"/>
      <c r="AD14" s="130"/>
      <c r="AE14" s="130"/>
      <c r="AF14" s="130"/>
      <c r="AG14" s="75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ht="27.75" customHeight="1" spans="1:53">
      <c r="A15" s="133"/>
      <c r="B15" s="75"/>
      <c r="C15" s="9" t="s">
        <v>31</v>
      </c>
      <c r="D15" s="134"/>
      <c r="E15" s="9">
        <v>20</v>
      </c>
      <c r="F15" s="9"/>
      <c r="G15" s="9">
        <v>60</v>
      </c>
      <c r="H15" s="9"/>
      <c r="I15" s="9">
        <v>16.5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>
        <v>800</v>
      </c>
      <c r="W15" s="9"/>
      <c r="X15" s="9"/>
      <c r="Y15" s="37"/>
      <c r="Z15" s="37"/>
      <c r="AA15" s="37"/>
      <c r="AB15" s="37"/>
      <c r="AC15" s="37"/>
      <c r="AD15" s="37"/>
      <c r="AE15" s="37"/>
      <c r="AF15" s="37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ht="27.75" customHeight="1" spans="1:53">
      <c r="A16" s="133"/>
      <c r="B16" s="75"/>
      <c r="C16" s="9" t="s">
        <v>234</v>
      </c>
      <c r="D16" s="134"/>
      <c r="E16" s="9">
        <v>25</v>
      </c>
      <c r="F16" s="9"/>
      <c r="G16" s="9">
        <v>80</v>
      </c>
      <c r="H16" s="9"/>
      <c r="I16" s="9">
        <v>16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>
        <v>1000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customHeight="1" spans="1:53">
      <c r="A17" s="127"/>
      <c r="B17" s="16"/>
      <c r="C17" s="127"/>
      <c r="D17" s="127"/>
      <c r="E17" s="127"/>
      <c r="F17" s="127"/>
      <c r="G17" s="127"/>
      <c r="H17" s="127"/>
      <c r="I17" s="16"/>
      <c r="J17" s="16"/>
      <c r="K17" s="16"/>
      <c r="L17" s="16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</row>
    <row r="18" customHeight="1" spans="1:53">
      <c r="A18" s="2" t="s">
        <v>85</v>
      </c>
      <c r="B18" s="75" t="s">
        <v>16</v>
      </c>
      <c r="C18" s="9" t="s">
        <v>232</v>
      </c>
      <c r="D18" s="9" t="s">
        <v>37</v>
      </c>
      <c r="E18" s="9">
        <v>20</v>
      </c>
      <c r="F18" s="9">
        <v>8</v>
      </c>
      <c r="G18" s="9">
        <v>20</v>
      </c>
      <c r="H18" s="9">
        <v>8</v>
      </c>
      <c r="I18" s="9">
        <v>10</v>
      </c>
      <c r="J18" s="9">
        <v>4</v>
      </c>
      <c r="K18" s="9"/>
      <c r="L18" s="144" t="s">
        <v>235</v>
      </c>
      <c r="M18" s="9"/>
      <c r="N18" s="9" t="s">
        <v>236</v>
      </c>
      <c r="O18" s="9" t="s">
        <v>237</v>
      </c>
      <c r="P18" s="9" t="s">
        <v>238</v>
      </c>
      <c r="Q18" s="9" t="s">
        <v>239</v>
      </c>
      <c r="R18" s="9" t="s">
        <v>240</v>
      </c>
      <c r="S18" s="9" t="s">
        <v>132</v>
      </c>
      <c r="T18" s="9"/>
      <c r="U18" s="9"/>
      <c r="V18" s="9">
        <v>1460</v>
      </c>
      <c r="W18" s="9">
        <v>4790</v>
      </c>
      <c r="X18" s="9"/>
      <c r="Y18" s="11" t="s">
        <v>163</v>
      </c>
      <c r="Z18" s="11" t="s">
        <v>164</v>
      </c>
      <c r="AA18" s="105"/>
      <c r="AB18" s="105"/>
      <c r="AC18" s="92">
        <v>10</v>
      </c>
      <c r="AD18" s="92">
        <v>20</v>
      </c>
      <c r="AE18" s="92">
        <v>11</v>
      </c>
      <c r="AF18" s="92">
        <v>22</v>
      </c>
      <c r="AG18" s="9">
        <v>1</v>
      </c>
      <c r="AH18" s="9"/>
      <c r="AI18" s="2" t="s">
        <v>135</v>
      </c>
      <c r="AJ18" s="2" t="s">
        <v>136</v>
      </c>
      <c r="AK18" s="9">
        <v>96</v>
      </c>
      <c r="AL18" s="9">
        <v>400</v>
      </c>
      <c r="AM18" s="9">
        <v>800</v>
      </c>
      <c r="AN18" s="100">
        <v>254</v>
      </c>
      <c r="AO18" s="100">
        <f>AN18*0.3937</f>
        <v>99.9998</v>
      </c>
      <c r="AP18" s="9">
        <v>80</v>
      </c>
      <c r="AQ18" s="9">
        <v>300</v>
      </c>
      <c r="AR18" s="9">
        <v>600</v>
      </c>
      <c r="AS18" s="100">
        <v>300</v>
      </c>
      <c r="AT18" s="100">
        <f>AS18*0.3937</f>
        <v>118.11</v>
      </c>
      <c r="AU18" s="9">
        <v>75</v>
      </c>
      <c r="AV18" s="9">
        <v>280</v>
      </c>
      <c r="AW18" s="9">
        <v>560</v>
      </c>
      <c r="AX18" s="100">
        <v>180</v>
      </c>
      <c r="AY18" s="100">
        <f>AX18*0.3937</f>
        <v>70.866</v>
      </c>
      <c r="AZ18" s="9">
        <v>7.6</v>
      </c>
      <c r="BA18" s="9">
        <v>3</v>
      </c>
    </row>
    <row r="19" customHeight="1" spans="1:53">
      <c r="A19" s="133"/>
      <c r="B19" s="75" t="s">
        <v>241</v>
      </c>
      <c r="C19" s="9" t="s">
        <v>31</v>
      </c>
      <c r="D19" s="9" t="s">
        <v>40</v>
      </c>
      <c r="E19" s="9">
        <v>20</v>
      </c>
      <c r="F19" s="9">
        <v>8</v>
      </c>
      <c r="G19" s="9">
        <v>40</v>
      </c>
      <c r="H19" s="9">
        <v>16</v>
      </c>
      <c r="I19" s="9">
        <v>33</v>
      </c>
      <c r="J19" s="9">
        <v>13</v>
      </c>
      <c r="K19" s="9"/>
      <c r="L19" s="144" t="s">
        <v>242</v>
      </c>
      <c r="M19" s="9"/>
      <c r="N19" s="9" t="s">
        <v>243</v>
      </c>
      <c r="O19" s="9" t="s">
        <v>244</v>
      </c>
      <c r="P19" s="9" t="s">
        <v>245</v>
      </c>
      <c r="Q19" s="9" t="s">
        <v>246</v>
      </c>
      <c r="R19" s="9" t="s">
        <v>247</v>
      </c>
      <c r="S19" s="9" t="s">
        <v>132</v>
      </c>
      <c r="T19" s="9">
        <v>4.3</v>
      </c>
      <c r="U19" s="9">
        <v>1.7</v>
      </c>
      <c r="V19" s="9">
        <v>600</v>
      </c>
      <c r="W19" s="9">
        <v>1969</v>
      </c>
      <c r="X19" s="9"/>
      <c r="Y19" s="11" t="s">
        <v>168</v>
      </c>
      <c r="Z19" s="11" t="s">
        <v>169</v>
      </c>
      <c r="AA19" s="105"/>
      <c r="AB19" s="105"/>
      <c r="AC19" s="92">
        <v>15</v>
      </c>
      <c r="AD19" s="92">
        <v>30</v>
      </c>
      <c r="AE19" s="92">
        <v>16</v>
      </c>
      <c r="AF19" s="92">
        <v>32</v>
      </c>
      <c r="AG19" s="9">
        <v>1</v>
      </c>
      <c r="AH19" s="9"/>
      <c r="AI19" s="2" t="s">
        <v>135</v>
      </c>
      <c r="AJ19" s="2" t="s">
        <v>136</v>
      </c>
      <c r="AK19" s="9">
        <v>90</v>
      </c>
      <c r="AL19" s="9">
        <v>400</v>
      </c>
      <c r="AM19" s="9">
        <v>800</v>
      </c>
      <c r="AN19" s="100">
        <v>254</v>
      </c>
      <c r="AO19" s="100">
        <f>AN19*0.3937</f>
        <v>99.9998</v>
      </c>
      <c r="AP19" s="9">
        <v>76</v>
      </c>
      <c r="AQ19" s="9">
        <v>300</v>
      </c>
      <c r="AR19" s="9">
        <v>600</v>
      </c>
      <c r="AS19" s="100">
        <v>254</v>
      </c>
      <c r="AT19" s="100">
        <f>AS19*0.3937</f>
        <v>99.9998</v>
      </c>
      <c r="AU19" s="9">
        <v>70</v>
      </c>
      <c r="AV19" s="9">
        <v>280</v>
      </c>
      <c r="AW19" s="9">
        <v>560</v>
      </c>
      <c r="AX19" s="100">
        <v>180</v>
      </c>
      <c r="AY19" s="100">
        <f>AX19*0.3937</f>
        <v>70.866</v>
      </c>
      <c r="AZ19" s="9">
        <v>7.6</v>
      </c>
      <c r="BA19" s="9">
        <v>3</v>
      </c>
    </row>
    <row r="20" ht="21" customHeight="1" spans="1:53">
      <c r="A20" s="133"/>
      <c r="B20" s="75" t="s">
        <v>241</v>
      </c>
      <c r="C20" s="9" t="s">
        <v>31</v>
      </c>
      <c r="D20" s="9" t="s">
        <v>248</v>
      </c>
      <c r="E20" s="9">
        <v>20</v>
      </c>
      <c r="F20" s="9">
        <v>10</v>
      </c>
      <c r="G20" s="9">
        <v>80</v>
      </c>
      <c r="H20" s="9">
        <v>32</v>
      </c>
      <c r="I20" s="9">
        <v>33</v>
      </c>
      <c r="J20" s="9">
        <v>13</v>
      </c>
      <c r="K20" s="9"/>
      <c r="L20" s="144" t="s">
        <v>249</v>
      </c>
      <c r="M20" s="9"/>
      <c r="N20" s="9" t="s">
        <v>250</v>
      </c>
      <c r="O20" s="9" t="s">
        <v>251</v>
      </c>
      <c r="P20" s="9" t="s">
        <v>252</v>
      </c>
      <c r="Q20" s="9" t="s">
        <v>253</v>
      </c>
      <c r="R20" s="9" t="s">
        <v>254</v>
      </c>
      <c r="S20" s="9" t="s">
        <v>132</v>
      </c>
      <c r="T20" s="9">
        <v>4.3</v>
      </c>
      <c r="U20" s="9">
        <v>1.7</v>
      </c>
      <c r="V20" s="9">
        <v>110</v>
      </c>
      <c r="W20" s="9">
        <v>361</v>
      </c>
      <c r="X20" s="9"/>
      <c r="Y20" s="11" t="s">
        <v>163</v>
      </c>
      <c r="Z20" s="11" t="s">
        <v>164</v>
      </c>
      <c r="AA20" s="105"/>
      <c r="AB20" s="105"/>
      <c r="AC20" s="92">
        <v>5</v>
      </c>
      <c r="AD20" s="92">
        <v>10</v>
      </c>
      <c r="AE20" s="92">
        <v>6</v>
      </c>
      <c r="AF20" s="92">
        <v>12</v>
      </c>
      <c r="AG20" s="9">
        <v>1</v>
      </c>
      <c r="AH20" s="9"/>
      <c r="AI20" s="2" t="s">
        <v>135</v>
      </c>
      <c r="AJ20" s="2" t="s">
        <v>136</v>
      </c>
      <c r="AK20" s="9">
        <v>128</v>
      </c>
      <c r="AL20" s="9">
        <v>200</v>
      </c>
      <c r="AM20" s="9">
        <v>400</v>
      </c>
      <c r="AN20" s="100">
        <v>254</v>
      </c>
      <c r="AO20" s="100">
        <f>AN20*0.3937</f>
        <v>99.9998</v>
      </c>
      <c r="AP20" s="9">
        <v>100</v>
      </c>
      <c r="AQ20" s="9">
        <v>150</v>
      </c>
      <c r="AR20" s="9">
        <v>300</v>
      </c>
      <c r="AS20" s="100">
        <v>300</v>
      </c>
      <c r="AT20" s="100">
        <f>AS20*0.3937</f>
        <v>118.11</v>
      </c>
      <c r="AU20" s="9">
        <v>90</v>
      </c>
      <c r="AV20" s="9">
        <v>140</v>
      </c>
      <c r="AW20" s="9">
        <v>280</v>
      </c>
      <c r="AX20" s="100">
        <v>180</v>
      </c>
      <c r="AY20" s="100">
        <f>AX20*0.3937</f>
        <v>70.866</v>
      </c>
      <c r="AZ20" s="9">
        <v>7.6</v>
      </c>
      <c r="BA20" s="9">
        <v>3</v>
      </c>
    </row>
    <row r="21" customHeight="1" spans="1:53">
      <c r="A21" s="133"/>
      <c r="B21" s="75" t="s">
        <v>255</v>
      </c>
      <c r="C21" s="9" t="s">
        <v>229</v>
      </c>
      <c r="D21" s="9" t="s">
        <v>256</v>
      </c>
      <c r="E21" s="9">
        <v>50</v>
      </c>
      <c r="F21" s="9">
        <v>30</v>
      </c>
      <c r="G21" s="9">
        <v>20</v>
      </c>
      <c r="H21" s="9">
        <v>8</v>
      </c>
      <c r="I21" s="9">
        <v>13</v>
      </c>
      <c r="J21" s="9">
        <v>5</v>
      </c>
      <c r="K21" s="9"/>
      <c r="L21" s="144" t="s">
        <v>235</v>
      </c>
      <c r="M21" s="9"/>
      <c r="N21" s="9" t="s">
        <v>257</v>
      </c>
      <c r="O21" s="9" t="s">
        <v>258</v>
      </c>
      <c r="P21" s="9" t="s">
        <v>259</v>
      </c>
      <c r="Q21" s="9" t="s">
        <v>260</v>
      </c>
      <c r="R21" s="9" t="s">
        <v>261</v>
      </c>
      <c r="S21" s="9" t="s">
        <v>132</v>
      </c>
      <c r="T21" s="9"/>
      <c r="U21" s="9"/>
      <c r="V21" s="9">
        <v>220</v>
      </c>
      <c r="W21" s="9">
        <v>722</v>
      </c>
      <c r="X21" s="9"/>
      <c r="Y21" s="11" t="s">
        <v>168</v>
      </c>
      <c r="Z21" s="11" t="s">
        <v>169</v>
      </c>
      <c r="AA21" s="105"/>
      <c r="AB21" s="105"/>
      <c r="AC21" s="92">
        <v>5</v>
      </c>
      <c r="AD21" s="92">
        <v>10</v>
      </c>
      <c r="AE21" s="92">
        <v>6</v>
      </c>
      <c r="AF21" s="92">
        <v>12</v>
      </c>
      <c r="AG21" s="9">
        <v>1</v>
      </c>
      <c r="AH21" s="9"/>
      <c r="AI21" s="2" t="s">
        <v>135</v>
      </c>
      <c r="AJ21" s="2" t="s">
        <v>136</v>
      </c>
      <c r="AK21" s="9">
        <v>180</v>
      </c>
      <c r="AL21" s="9">
        <v>200</v>
      </c>
      <c r="AM21" s="9">
        <v>400</v>
      </c>
      <c r="AN21" s="100">
        <v>254</v>
      </c>
      <c r="AO21" s="100">
        <f>AN21*0.3937</f>
        <v>99.9998</v>
      </c>
      <c r="AP21" s="9">
        <v>170</v>
      </c>
      <c r="AQ21" s="9">
        <v>150</v>
      </c>
      <c r="AR21" s="9">
        <v>300</v>
      </c>
      <c r="AS21" s="100">
        <v>254</v>
      </c>
      <c r="AT21" s="100">
        <f>AS21*0.3937</f>
        <v>99.9998</v>
      </c>
      <c r="AU21" s="9">
        <v>160</v>
      </c>
      <c r="AV21" s="9">
        <v>140</v>
      </c>
      <c r="AW21" s="9">
        <v>280</v>
      </c>
      <c r="AX21" s="100">
        <v>180</v>
      </c>
      <c r="AY21" s="100">
        <f>AX21*0.3937</f>
        <v>70.866</v>
      </c>
      <c r="AZ21" s="9">
        <v>7.6</v>
      </c>
      <c r="BA21" s="9">
        <v>3</v>
      </c>
    </row>
    <row r="22" customHeight="1" spans="1:53">
      <c r="A22" s="133"/>
      <c r="B22" s="75" t="s">
        <v>262</v>
      </c>
      <c r="C22" s="9" t="s">
        <v>229</v>
      </c>
      <c r="D22" s="9" t="s">
        <v>37</v>
      </c>
      <c r="E22" s="9">
        <v>13</v>
      </c>
      <c r="F22" s="9">
        <v>5</v>
      </c>
      <c r="G22" s="9">
        <v>20</v>
      </c>
      <c r="H22" s="9">
        <v>8</v>
      </c>
      <c r="I22" s="9">
        <v>13</v>
      </c>
      <c r="J22" s="9">
        <v>5</v>
      </c>
      <c r="K22" s="9"/>
      <c r="L22" s="144" t="s">
        <v>263</v>
      </c>
      <c r="M22" s="9"/>
      <c r="N22" s="9" t="s">
        <v>264</v>
      </c>
      <c r="O22" s="9" t="s">
        <v>265</v>
      </c>
      <c r="P22" s="9" t="s">
        <v>266</v>
      </c>
      <c r="Q22" s="9" t="s">
        <v>267</v>
      </c>
      <c r="R22" s="9" t="s">
        <v>268</v>
      </c>
      <c r="S22" s="9" t="s">
        <v>132</v>
      </c>
      <c r="T22" s="9"/>
      <c r="U22" s="9"/>
      <c r="V22" s="9">
        <v>1000</v>
      </c>
      <c r="W22" s="9">
        <v>3281</v>
      </c>
      <c r="X22" s="9"/>
      <c r="Y22" s="11" t="s">
        <v>163</v>
      </c>
      <c r="Z22" s="11" t="s">
        <v>164</v>
      </c>
      <c r="AA22" s="105"/>
      <c r="AB22" s="105"/>
      <c r="AC22" s="92">
        <v>8</v>
      </c>
      <c r="AD22" s="92">
        <v>16</v>
      </c>
      <c r="AE22" s="92">
        <v>9</v>
      </c>
      <c r="AF22" s="92">
        <v>18</v>
      </c>
      <c r="AG22" s="9">
        <v>1</v>
      </c>
      <c r="AH22" s="9"/>
      <c r="AI22" s="2" t="s">
        <v>135</v>
      </c>
      <c r="AJ22" s="2" t="s">
        <v>136</v>
      </c>
      <c r="AK22" s="9">
        <v>150</v>
      </c>
      <c r="AL22" s="9">
        <v>400</v>
      </c>
      <c r="AM22" s="9">
        <v>800</v>
      </c>
      <c r="AN22" s="100">
        <v>254</v>
      </c>
      <c r="AO22" s="100">
        <f>AN22*0.3937</f>
        <v>99.9998</v>
      </c>
      <c r="AP22" s="9">
        <v>109</v>
      </c>
      <c r="AQ22" s="9">
        <v>300</v>
      </c>
      <c r="AR22" s="9">
        <v>600</v>
      </c>
      <c r="AS22" s="100">
        <v>254</v>
      </c>
      <c r="AT22" s="100">
        <f>AS22*0.3937</f>
        <v>99.9998</v>
      </c>
      <c r="AU22" s="9">
        <v>100</v>
      </c>
      <c r="AV22" s="9">
        <v>280</v>
      </c>
      <c r="AW22" s="9">
        <v>560</v>
      </c>
      <c r="AX22" s="100">
        <v>180</v>
      </c>
      <c r="AY22" s="100">
        <f>AX22*0.3937</f>
        <v>70.866</v>
      </c>
      <c r="AZ22" s="9">
        <v>7.6</v>
      </c>
      <c r="BA22" s="9">
        <v>3</v>
      </c>
    </row>
    <row r="23" customHeight="1" spans="1:53">
      <c r="A23" s="133"/>
      <c r="B23" s="7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customHeight="1" spans="1:53">
      <c r="A24" s="133"/>
      <c r="B24" s="7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customHeight="1" spans="1:53">
      <c r="A25" s="133"/>
      <c r="B25" s="7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</sheetData>
  <mergeCells count="4">
    <mergeCell ref="B2:J2"/>
    <mergeCell ref="L2:BA2"/>
    <mergeCell ref="A12:A16"/>
    <mergeCell ref="A18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8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2" max="3" width="16" customWidth="1"/>
    <col min="5" max="5" width="12.0763888888889" customWidth="1"/>
    <col min="6" max="6" width="22.8472222222222" customWidth="1"/>
    <col min="7" max="8" width="12.6944444444444" customWidth="1"/>
    <col min="9" max="9" width="11.9236111111111" customWidth="1"/>
  </cols>
  <sheetData>
    <row r="1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7.75" customHeight="1" spans="1:19">
      <c r="A2" s="16"/>
      <c r="B2" s="47" t="s">
        <v>94</v>
      </c>
      <c r="C2" s="17"/>
      <c r="D2" s="61" t="s">
        <v>95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ht="28" customHeight="1" spans="1:19">
      <c r="A3" s="19" t="s">
        <v>73</v>
      </c>
      <c r="B3" s="7" t="s">
        <v>269</v>
      </c>
      <c r="C3" s="7" t="s">
        <v>270</v>
      </c>
      <c r="D3" s="62" t="s">
        <v>149</v>
      </c>
      <c r="E3" s="7" t="s">
        <v>74</v>
      </c>
      <c r="F3" s="65" t="s">
        <v>3</v>
      </c>
      <c r="G3" s="66" t="s">
        <v>75</v>
      </c>
      <c r="H3" s="66" t="s">
        <v>76</v>
      </c>
      <c r="I3" s="67" t="s">
        <v>271</v>
      </c>
      <c r="J3" s="68" t="s">
        <v>98</v>
      </c>
      <c r="K3" s="68" t="s">
        <v>99</v>
      </c>
      <c r="L3" s="124" t="s">
        <v>152</v>
      </c>
      <c r="M3" s="124" t="s">
        <v>153</v>
      </c>
      <c r="N3" s="124" t="s">
        <v>102</v>
      </c>
      <c r="O3" s="124" t="s">
        <v>103</v>
      </c>
      <c r="P3" s="69" t="s">
        <v>104</v>
      </c>
      <c r="Q3" s="69" t="s">
        <v>155</v>
      </c>
      <c r="R3" s="69" t="s">
        <v>106</v>
      </c>
      <c r="S3" s="69" t="s">
        <v>156</v>
      </c>
    </row>
    <row r="4" ht="39" customHeight="1" spans="1:19">
      <c r="A4" s="19" t="s">
        <v>118</v>
      </c>
      <c r="B4" s="9" t="s">
        <v>122</v>
      </c>
      <c r="C4" s="9" t="s">
        <v>120</v>
      </c>
      <c r="D4" s="9"/>
      <c r="E4" s="9"/>
      <c r="F4" s="109"/>
      <c r="G4" s="123"/>
      <c r="H4" s="123"/>
      <c r="I4" s="25"/>
      <c r="J4" s="109"/>
      <c r="K4" s="123"/>
      <c r="L4" s="123"/>
      <c r="M4" s="123"/>
      <c r="N4" s="123"/>
      <c r="O4" s="123"/>
      <c r="P4" s="123"/>
      <c r="Q4" s="123"/>
      <c r="R4" s="123"/>
      <c r="S4" s="25"/>
    </row>
    <row r="5" ht="39" customHeight="1" spans="1:19">
      <c r="A5" s="21" t="s">
        <v>77</v>
      </c>
      <c r="B5" s="9" t="s">
        <v>272</v>
      </c>
      <c r="C5" s="9" t="s">
        <v>272</v>
      </c>
      <c r="D5" s="9" t="s">
        <v>273</v>
      </c>
      <c r="E5" s="9" t="s">
        <v>273</v>
      </c>
      <c r="F5" s="9" t="s">
        <v>273</v>
      </c>
      <c r="G5" s="9" t="s">
        <v>79</v>
      </c>
      <c r="H5" s="9" t="s">
        <v>79</v>
      </c>
      <c r="I5" s="9" t="s">
        <v>78</v>
      </c>
      <c r="J5" s="9" t="s">
        <v>78</v>
      </c>
      <c r="K5" s="9" t="s">
        <v>78</v>
      </c>
      <c r="L5" s="9" t="s">
        <v>78</v>
      </c>
      <c r="M5" s="9" t="s">
        <v>78</v>
      </c>
      <c r="N5" s="9" t="s">
        <v>78</v>
      </c>
      <c r="O5" s="9" t="s">
        <v>78</v>
      </c>
      <c r="P5" s="9" t="s">
        <v>124</v>
      </c>
      <c r="Q5" s="9" t="s">
        <v>124</v>
      </c>
      <c r="R5" s="16" t="s">
        <v>125</v>
      </c>
      <c r="S5" s="2" t="s">
        <v>158</v>
      </c>
    </row>
    <row r="6" ht="34" spans="1:19">
      <c r="A6" s="19" t="s">
        <v>80</v>
      </c>
      <c r="B6" s="9" t="s">
        <v>84</v>
      </c>
      <c r="C6" s="9" t="s">
        <v>84</v>
      </c>
      <c r="D6" s="9" t="s">
        <v>84</v>
      </c>
      <c r="E6" s="9" t="s">
        <v>84</v>
      </c>
      <c r="F6" s="9" t="s">
        <v>84</v>
      </c>
      <c r="G6" s="9" t="s">
        <v>84</v>
      </c>
      <c r="H6" s="9"/>
      <c r="I6" s="9" t="s">
        <v>84</v>
      </c>
      <c r="J6" s="9"/>
      <c r="K6" s="9"/>
      <c r="L6" s="125" t="s">
        <v>84</v>
      </c>
      <c r="M6" s="9"/>
      <c r="N6" s="9"/>
      <c r="O6" s="9"/>
      <c r="P6" s="9"/>
      <c r="Q6" s="9"/>
      <c r="R6" s="9" t="s">
        <v>84</v>
      </c>
      <c r="S6" s="9"/>
    </row>
    <row r="7" ht="24" customHeight="1" spans="1:19">
      <c r="A7" s="19" t="s">
        <v>81</v>
      </c>
      <c r="B7" s="9" t="s">
        <v>84</v>
      </c>
      <c r="C7" s="9"/>
      <c r="D7" s="9" t="s">
        <v>84</v>
      </c>
      <c r="E7" s="9" t="s">
        <v>84</v>
      </c>
      <c r="F7" s="9" t="s">
        <v>84</v>
      </c>
      <c r="G7" s="9" t="s">
        <v>84</v>
      </c>
      <c r="H7" s="9"/>
      <c r="I7" s="9" t="s">
        <v>84</v>
      </c>
      <c r="J7" s="9" t="s">
        <v>84</v>
      </c>
      <c r="K7" s="9" t="s">
        <v>84</v>
      </c>
      <c r="L7" s="125" t="s">
        <v>84</v>
      </c>
      <c r="M7" s="9"/>
      <c r="N7" s="9" t="s">
        <v>84</v>
      </c>
      <c r="O7" s="9" t="s">
        <v>84</v>
      </c>
      <c r="P7" s="9"/>
      <c r="Q7" s="9"/>
      <c r="R7" s="9" t="s">
        <v>84</v>
      </c>
      <c r="S7" s="9"/>
    </row>
    <row r="8" ht="41" customHeight="1" spans="1:19">
      <c r="A8" s="24" t="s">
        <v>82</v>
      </c>
      <c r="B8" s="9"/>
      <c r="C8" s="9"/>
      <c r="D8" s="9"/>
      <c r="E8" s="9"/>
      <c r="F8" s="9"/>
      <c r="G8" s="9"/>
      <c r="H8" s="9"/>
      <c r="I8" s="9"/>
      <c r="J8" s="9" t="s">
        <v>84</v>
      </c>
      <c r="K8" s="9" t="s">
        <v>84</v>
      </c>
      <c r="L8" s="9"/>
      <c r="M8" s="9"/>
      <c r="N8" s="9" t="s">
        <v>84</v>
      </c>
      <c r="O8" s="9" t="s">
        <v>84</v>
      </c>
      <c r="P8" s="9"/>
      <c r="Q8" s="9"/>
      <c r="R8" s="9"/>
      <c r="S8" s="9"/>
    </row>
    <row r="9" ht="20" customHeight="1" spans="1:19">
      <c r="A9" s="19" t="s">
        <v>83</v>
      </c>
      <c r="B9" s="9"/>
      <c r="C9" s="9"/>
      <c r="D9" s="9"/>
      <c r="E9" s="9" t="s">
        <v>84</v>
      </c>
      <c r="F9" s="9" t="s">
        <v>84</v>
      </c>
      <c r="G9" s="9" t="s">
        <v>84</v>
      </c>
      <c r="H9" s="9" t="s">
        <v>84</v>
      </c>
      <c r="I9" s="9"/>
      <c r="J9" s="9"/>
      <c r="K9" s="9"/>
      <c r="L9" s="125" t="s">
        <v>84</v>
      </c>
      <c r="M9" s="9"/>
      <c r="N9" s="9"/>
      <c r="O9" s="9"/>
      <c r="P9" s="9"/>
      <c r="Q9" s="9"/>
      <c r="R9" s="9"/>
      <c r="S9" s="9"/>
    </row>
    <row r="10" customHeight="1" spans="1:1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customHeight="1" spans="1:19">
      <c r="A11" s="50" t="s">
        <v>85</v>
      </c>
      <c r="B11" s="81" t="s">
        <v>14</v>
      </c>
      <c r="C11" s="81" t="s">
        <v>274</v>
      </c>
      <c r="D11" s="81"/>
      <c r="E11" s="81" t="s">
        <v>275</v>
      </c>
      <c r="F11" s="81" t="s">
        <v>276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>
        <v>1</v>
      </c>
      <c r="S11" s="81"/>
    </row>
    <row r="12" customHeight="1" spans="1:19">
      <c r="A12" s="27"/>
      <c r="B12" s="81" t="s">
        <v>277</v>
      </c>
      <c r="C12" s="81" t="s">
        <v>274</v>
      </c>
      <c r="D12" s="81"/>
      <c r="E12" s="81" t="s">
        <v>278</v>
      </c>
      <c r="F12" s="81" t="s">
        <v>279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>
        <v>1</v>
      </c>
      <c r="S12" s="81"/>
    </row>
    <row r="13" customHeight="1" spans="1:19">
      <c r="A13" s="27"/>
      <c r="B13" s="81" t="s">
        <v>277</v>
      </c>
      <c r="C13" s="81" t="s">
        <v>274</v>
      </c>
      <c r="D13" s="81"/>
      <c r="E13" s="81" t="s">
        <v>280</v>
      </c>
      <c r="F13" s="81" t="s">
        <v>281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>
        <v>1</v>
      </c>
      <c r="S13" s="81"/>
    </row>
    <row r="14" customHeight="1" spans="1:19">
      <c r="A14" s="27"/>
      <c r="B14" s="81" t="s">
        <v>146</v>
      </c>
      <c r="C14" s="81" t="s">
        <v>282</v>
      </c>
      <c r="D14" s="81"/>
      <c r="E14" s="81" t="s">
        <v>283</v>
      </c>
      <c r="F14" s="81" t="s">
        <v>284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>
        <v>1</v>
      </c>
      <c r="S14" s="81"/>
    </row>
    <row r="15" customHeight="1" spans="1:19">
      <c r="A15" s="27"/>
      <c r="B15" s="81" t="s">
        <v>146</v>
      </c>
      <c r="C15" s="81" t="s">
        <v>282</v>
      </c>
      <c r="D15" s="81"/>
      <c r="E15" s="81" t="s">
        <v>285</v>
      </c>
      <c r="F15" s="81" t="s">
        <v>286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>
        <v>1</v>
      </c>
      <c r="S15" s="81"/>
    </row>
    <row r="16" customHeight="1" spans="1:19">
      <c r="A16" s="27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</row>
    <row r="17" customHeight="1" spans="1:19">
      <c r="A17" s="27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</row>
    <row r="18" customHeight="1" spans="1:19">
      <c r="A18" s="27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</row>
  </sheetData>
  <mergeCells count="2">
    <mergeCell ref="D2:S2"/>
    <mergeCell ref="A11:A1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32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3" max="3" width="12.8472222222222" customWidth="1"/>
    <col min="7" max="7" width="13.5347222222222" customWidth="1"/>
    <col min="10" max="10" width="14.9236111111111" customWidth="1"/>
    <col min="11" max="13" width="13.6111111111111" customWidth="1"/>
    <col min="14" max="14" width="10.7638888888889" customWidth="1"/>
    <col min="15" max="15" width="10.6944444444444" customWidth="1"/>
  </cols>
  <sheetData>
    <row r="1" customHeight="1" spans="1:25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customHeight="1" spans="1:25">
      <c r="A2" s="16"/>
      <c r="B2" s="60" t="s">
        <v>94</v>
      </c>
      <c r="C2" s="60"/>
      <c r="D2" s="106"/>
      <c r="E2" s="113" t="s">
        <v>95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19" t="s">
        <v>73</v>
      </c>
      <c r="B3" s="107" t="s">
        <v>7</v>
      </c>
      <c r="C3" s="107" t="s">
        <v>2</v>
      </c>
      <c r="D3" s="107" t="s">
        <v>96</v>
      </c>
      <c r="E3" s="107" t="s">
        <v>149</v>
      </c>
      <c r="F3" s="114" t="s">
        <v>74</v>
      </c>
      <c r="G3" s="114" t="s">
        <v>25</v>
      </c>
      <c r="H3" s="114" t="s">
        <v>97</v>
      </c>
      <c r="I3" s="72" t="s">
        <v>198</v>
      </c>
      <c r="J3" s="72" t="s">
        <v>98</v>
      </c>
      <c r="K3" s="72" t="s">
        <v>99</v>
      </c>
      <c r="L3" s="72" t="s">
        <v>152</v>
      </c>
      <c r="M3" s="72" t="s">
        <v>153</v>
      </c>
      <c r="N3" s="72" t="s">
        <v>102</v>
      </c>
      <c r="O3" s="72" t="s">
        <v>103</v>
      </c>
      <c r="P3" s="114" t="s">
        <v>104</v>
      </c>
      <c r="Q3" s="114" t="s">
        <v>105</v>
      </c>
      <c r="R3" s="114" t="s">
        <v>106</v>
      </c>
      <c r="S3" s="114" t="s">
        <v>107</v>
      </c>
      <c r="T3" s="114" t="s">
        <v>108</v>
      </c>
      <c r="U3" s="114" t="s">
        <v>109</v>
      </c>
      <c r="V3" s="118" t="s">
        <v>110</v>
      </c>
      <c r="W3" s="118" t="s">
        <v>111</v>
      </c>
      <c r="X3" s="119" t="s">
        <v>112</v>
      </c>
      <c r="Y3" s="119" t="s">
        <v>113</v>
      </c>
    </row>
    <row r="4" ht="48" customHeight="1" spans="1:25">
      <c r="A4" s="21" t="s">
        <v>287</v>
      </c>
      <c r="B4" s="108" t="s">
        <v>288</v>
      </c>
      <c r="C4" s="9" t="s">
        <v>122</v>
      </c>
      <c r="D4" s="9" t="s">
        <v>120</v>
      </c>
      <c r="E4" s="37" t="s">
        <v>122</v>
      </c>
      <c r="F4" s="37" t="s">
        <v>157</v>
      </c>
      <c r="G4" s="36" t="s">
        <v>78</v>
      </c>
      <c r="H4" s="36" t="s">
        <v>78</v>
      </c>
      <c r="I4" s="36" t="s">
        <v>78</v>
      </c>
      <c r="J4" s="37" t="s">
        <v>79</v>
      </c>
      <c r="K4" s="37" t="s">
        <v>79</v>
      </c>
      <c r="L4" s="37" t="s">
        <v>79</v>
      </c>
      <c r="M4" s="37" t="s">
        <v>79</v>
      </c>
      <c r="N4" s="37" t="s">
        <v>79</v>
      </c>
      <c r="O4" s="37" t="s">
        <v>79</v>
      </c>
      <c r="P4" s="37" t="s">
        <v>124</v>
      </c>
      <c r="Q4" s="37" t="s">
        <v>124</v>
      </c>
      <c r="R4" s="37" t="s">
        <v>125</v>
      </c>
      <c r="S4" s="37" t="s">
        <v>79</v>
      </c>
      <c r="T4" s="37" t="s">
        <v>79</v>
      </c>
      <c r="U4" s="37" t="s">
        <v>78</v>
      </c>
      <c r="V4" s="37" t="s">
        <v>78</v>
      </c>
      <c r="W4" s="37" t="s">
        <v>78</v>
      </c>
      <c r="X4" s="120" t="s">
        <v>78</v>
      </c>
      <c r="Y4" s="37" t="s">
        <v>78</v>
      </c>
    </row>
    <row r="5" ht="27.75" customHeight="1" spans="1:25">
      <c r="A5" s="19" t="s">
        <v>80</v>
      </c>
      <c r="B5" s="23"/>
      <c r="C5" s="2" t="s">
        <v>84</v>
      </c>
      <c r="D5" s="2" t="s">
        <v>84</v>
      </c>
      <c r="E5" s="2" t="s">
        <v>84</v>
      </c>
      <c r="F5" s="2" t="s">
        <v>84</v>
      </c>
      <c r="G5" s="2"/>
      <c r="H5" s="2"/>
      <c r="I5" s="2" t="s">
        <v>84</v>
      </c>
      <c r="J5" s="2"/>
      <c r="K5" s="2"/>
      <c r="L5" s="2" t="s">
        <v>84</v>
      </c>
      <c r="M5" s="2"/>
      <c r="N5" s="2"/>
      <c r="O5" s="2"/>
      <c r="P5" s="2"/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38"/>
      <c r="X5" s="38"/>
      <c r="Y5" s="75"/>
    </row>
    <row r="6" ht="27.75" customHeight="1" spans="1:25">
      <c r="A6" s="19" t="s">
        <v>81</v>
      </c>
      <c r="B6" s="23"/>
      <c r="C6" s="2" t="s">
        <v>84</v>
      </c>
      <c r="D6" s="2" t="s">
        <v>84</v>
      </c>
      <c r="E6" s="2" t="s">
        <v>84</v>
      </c>
      <c r="F6" s="2" t="s">
        <v>84</v>
      </c>
      <c r="G6" s="2"/>
      <c r="H6" s="2"/>
      <c r="I6" s="2" t="s">
        <v>84</v>
      </c>
      <c r="J6" s="2"/>
      <c r="K6" s="2"/>
      <c r="L6" s="2" t="s">
        <v>84</v>
      </c>
      <c r="M6" s="2"/>
      <c r="N6" s="2"/>
      <c r="O6" s="2"/>
      <c r="P6" s="2"/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38"/>
      <c r="X6" s="38"/>
      <c r="Y6" s="75"/>
    </row>
    <row r="7" ht="37" customHeight="1" spans="1:25">
      <c r="A7" s="24" t="s">
        <v>82</v>
      </c>
      <c r="B7" s="23"/>
      <c r="C7" s="2"/>
      <c r="D7" s="2"/>
      <c r="E7" s="2"/>
      <c r="F7" s="2"/>
      <c r="G7" s="2"/>
      <c r="H7" s="2"/>
      <c r="I7" s="2"/>
      <c r="J7" s="2" t="s">
        <v>84</v>
      </c>
      <c r="K7" s="2" t="s">
        <v>84</v>
      </c>
      <c r="L7" s="2"/>
      <c r="M7" s="2"/>
      <c r="N7" s="2" t="s">
        <v>84</v>
      </c>
      <c r="O7" s="2" t="s">
        <v>84</v>
      </c>
      <c r="P7" s="2"/>
      <c r="Q7" s="2"/>
      <c r="R7" s="2"/>
      <c r="S7" s="2"/>
      <c r="T7" s="2"/>
      <c r="U7" s="2"/>
      <c r="V7" s="2" t="s">
        <v>84</v>
      </c>
      <c r="W7" s="2" t="s">
        <v>84</v>
      </c>
      <c r="X7" s="2" t="s">
        <v>84</v>
      </c>
      <c r="Y7" s="34" t="s">
        <v>84</v>
      </c>
    </row>
    <row r="8" ht="27.75" customHeight="1" spans="1:25">
      <c r="A8" s="19" t="s">
        <v>83</v>
      </c>
      <c r="B8" s="109"/>
      <c r="C8" s="2" t="s">
        <v>84</v>
      </c>
      <c r="D8" s="2" t="s">
        <v>84</v>
      </c>
      <c r="E8" s="2"/>
      <c r="F8" s="2" t="s">
        <v>84</v>
      </c>
      <c r="G8" s="2" t="s">
        <v>84</v>
      </c>
      <c r="H8" s="2" t="s">
        <v>84</v>
      </c>
      <c r="J8" s="2"/>
      <c r="K8" s="2"/>
      <c r="L8" s="2" t="s">
        <v>84</v>
      </c>
      <c r="M8" s="2"/>
      <c r="N8" s="2"/>
      <c r="O8" s="2"/>
      <c r="P8" s="2"/>
      <c r="Q8" s="2"/>
      <c r="R8" s="2"/>
      <c r="S8" s="2"/>
      <c r="T8" s="2"/>
      <c r="U8" s="2"/>
      <c r="V8" s="121"/>
      <c r="W8" s="44"/>
      <c r="X8" s="122"/>
      <c r="Y8" s="9"/>
    </row>
    <row r="9" ht="27.75" customHeight="1" spans="1:25">
      <c r="A9" s="74" t="s">
        <v>127</v>
      </c>
      <c r="B9" s="75" t="s">
        <v>289</v>
      </c>
      <c r="C9" s="76" t="s">
        <v>290</v>
      </c>
      <c r="D9" s="9">
        <v>110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7.75" customHeight="1" spans="1:25">
      <c r="A10" s="13"/>
      <c r="B10" s="75" t="s">
        <v>291</v>
      </c>
      <c r="C10" s="76" t="s">
        <v>292</v>
      </c>
      <c r="D10" s="9">
        <v>220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customHeight="1" spans="1:25">
      <c r="A11" s="13"/>
      <c r="B11" s="75" t="s">
        <v>293</v>
      </c>
      <c r="C11" s="76" t="s">
        <v>294</v>
      </c>
      <c r="D11" s="81"/>
      <c r="E11" s="8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customHeight="1" spans="1:25">
      <c r="A12" s="13"/>
      <c r="B12" s="75"/>
      <c r="C12" s="76" t="s">
        <v>295</v>
      </c>
      <c r="D12" s="81"/>
      <c r="E12" s="8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customHeight="1" spans="1:25">
      <c r="A13" s="13"/>
      <c r="B13" s="75"/>
      <c r="C13" s="77" t="s">
        <v>296</v>
      </c>
      <c r="D13" s="81"/>
      <c r="E13" s="8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customHeight="1" spans="1:25">
      <c r="A14" s="13"/>
      <c r="B14" s="75"/>
      <c r="C14" s="78" t="s">
        <v>297</v>
      </c>
      <c r="D14" s="81"/>
      <c r="E14" s="8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customHeight="1" spans="1:25">
      <c r="A15" s="13"/>
      <c r="B15" s="75"/>
      <c r="C15" s="78" t="s">
        <v>298</v>
      </c>
      <c r="D15" s="81"/>
      <c r="E15" s="8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customHeight="1" spans="1:25">
      <c r="A16" s="13"/>
      <c r="B16" s="75"/>
      <c r="C16" s="79" t="s">
        <v>299</v>
      </c>
      <c r="D16" s="81"/>
      <c r="E16" s="8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customHeight="1" spans="1:25">
      <c r="A17" s="13"/>
      <c r="B17" s="75"/>
      <c r="C17" s="79" t="s">
        <v>300</v>
      </c>
      <c r="D17" s="81"/>
      <c r="E17" s="8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7.75" customHeight="1" spans="1:25">
      <c r="A18" s="13"/>
      <c r="B18" s="75"/>
      <c r="C18" s="79" t="s">
        <v>301</v>
      </c>
      <c r="D18" s="81"/>
      <c r="E18" s="8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27.75" customHeight="1" spans="1:25">
      <c r="A19" s="13"/>
      <c r="B19" s="75"/>
      <c r="C19" s="79" t="s">
        <v>302</v>
      </c>
      <c r="D19" s="81"/>
      <c r="E19" s="8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customHeight="1" spans="1:25">
      <c r="A20" s="13"/>
      <c r="B20" s="75"/>
      <c r="C20" s="79" t="s">
        <v>303</v>
      </c>
      <c r="D20" s="81"/>
      <c r="E20" s="8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customHeight="1" spans="1:25">
      <c r="A21" s="13"/>
      <c r="B21" s="75"/>
      <c r="C21" s="79" t="s">
        <v>304</v>
      </c>
      <c r="D21" s="81"/>
      <c r="E21" s="8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customHeight="1" spans="1:25">
      <c r="A22" s="13"/>
      <c r="B22" s="80"/>
      <c r="C22" s="79" t="s">
        <v>305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customHeight="1" spans="1:25">
      <c r="A23" s="13"/>
      <c r="B23" s="80"/>
      <c r="C23" s="82" t="s">
        <v>306</v>
      </c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customHeight="1" spans="1:25">
      <c r="A24" s="110"/>
      <c r="B24" s="111"/>
      <c r="C24" s="112" t="s">
        <v>307</v>
      </c>
      <c r="D24" s="112"/>
      <c r="E24" s="112"/>
      <c r="F24" s="112"/>
      <c r="G24" s="112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customHeight="1" spans="1:25">
      <c r="A25" s="13"/>
      <c r="B25" s="11"/>
      <c r="C25" s="11"/>
      <c r="D25" s="11"/>
      <c r="E25" s="11"/>
      <c r="F25" s="11"/>
      <c r="G25" s="11"/>
      <c r="H25" s="80"/>
      <c r="I25" s="81"/>
      <c r="J25" s="81"/>
      <c r="K25" s="81"/>
      <c r="L25" s="81"/>
      <c r="M25" s="81"/>
      <c r="N25" s="81"/>
      <c r="O25" s="81"/>
      <c r="P25" s="81"/>
      <c r="Q25" s="81"/>
      <c r="R25" s="112"/>
      <c r="S25" s="81"/>
      <c r="T25" s="81"/>
      <c r="U25" s="81"/>
      <c r="V25" s="81"/>
      <c r="W25" s="81"/>
      <c r="X25" s="81"/>
      <c r="Y25" s="81"/>
    </row>
    <row r="26" customHeight="1" spans="1:25">
      <c r="A26" s="11" t="s">
        <v>85</v>
      </c>
      <c r="B26" s="2" t="s">
        <v>308</v>
      </c>
      <c r="C26" s="2" t="s">
        <v>292</v>
      </c>
      <c r="D26" s="2" t="s">
        <v>309</v>
      </c>
      <c r="E26" s="2"/>
      <c r="F26" s="2" t="s">
        <v>310</v>
      </c>
      <c r="G26" s="2" t="s">
        <v>311</v>
      </c>
      <c r="H26" s="75" t="s">
        <v>312</v>
      </c>
      <c r="I26" s="9"/>
      <c r="J26" s="9" t="s">
        <v>313</v>
      </c>
      <c r="K26" s="9" t="s">
        <v>314</v>
      </c>
      <c r="L26" s="9"/>
      <c r="M26" s="9"/>
      <c r="N26" s="92">
        <f>O26*0.45359237</f>
        <v>16.78291769</v>
      </c>
      <c r="O26" s="92">
        <v>37</v>
      </c>
      <c r="P26" s="92">
        <f>Q26*0.45359237</f>
        <v>9.42697289052203</v>
      </c>
      <c r="Q26" s="115">
        <f>N26+4</f>
        <v>20.78291769</v>
      </c>
      <c r="R26" s="116">
        <v>1</v>
      </c>
      <c r="S26" s="2" t="s">
        <v>135</v>
      </c>
      <c r="T26" s="2" t="s">
        <v>136</v>
      </c>
      <c r="U26" s="9"/>
      <c r="V26" s="9"/>
      <c r="W26" s="9"/>
      <c r="X26" s="9"/>
      <c r="Y26" s="9"/>
    </row>
    <row r="27" customHeight="1" spans="1:25">
      <c r="A27" s="13"/>
      <c r="B27" s="2" t="s">
        <v>308</v>
      </c>
      <c r="C27" s="2" t="s">
        <v>290</v>
      </c>
      <c r="D27" s="2" t="s">
        <v>309</v>
      </c>
      <c r="E27" s="2"/>
      <c r="F27" s="2" t="s">
        <v>315</v>
      </c>
      <c r="G27" s="2" t="s">
        <v>311</v>
      </c>
      <c r="H27" s="75" t="s">
        <v>312</v>
      </c>
      <c r="I27" s="9"/>
      <c r="J27" s="9" t="s">
        <v>313</v>
      </c>
      <c r="K27" s="9" t="s">
        <v>314</v>
      </c>
      <c r="L27" s="9"/>
      <c r="M27" s="9"/>
      <c r="N27" s="92">
        <f>O27*0.45359237</f>
        <v>19.05087954</v>
      </c>
      <c r="O27" s="92">
        <v>42</v>
      </c>
      <c r="P27" s="92">
        <f>Q27*0.45359237</f>
        <v>10.4557030811331</v>
      </c>
      <c r="Q27" s="115">
        <f>N27+4</f>
        <v>23.05087954</v>
      </c>
      <c r="R27" s="116">
        <v>1</v>
      </c>
      <c r="S27" s="2" t="s">
        <v>135</v>
      </c>
      <c r="T27" s="2" t="s">
        <v>136</v>
      </c>
      <c r="U27" s="9"/>
      <c r="V27" s="9"/>
      <c r="W27" s="9"/>
      <c r="X27" s="9"/>
      <c r="Y27" s="9"/>
    </row>
    <row r="28" customHeight="1" spans="1:25">
      <c r="A28" s="13"/>
      <c r="B28" s="2" t="s">
        <v>316</v>
      </c>
      <c r="C28" s="2" t="s">
        <v>297</v>
      </c>
      <c r="D28" s="2">
        <v>110</v>
      </c>
      <c r="E28" s="2"/>
      <c r="F28" s="2" t="s">
        <v>317</v>
      </c>
      <c r="G28" s="2" t="s">
        <v>318</v>
      </c>
      <c r="H28" s="75" t="s">
        <v>312</v>
      </c>
      <c r="I28" s="9"/>
      <c r="J28" s="9" t="s">
        <v>319</v>
      </c>
      <c r="K28" s="9" t="s">
        <v>320</v>
      </c>
      <c r="L28" s="9"/>
      <c r="M28" s="9"/>
      <c r="N28" s="92">
        <f>O28*0.45359237</f>
        <v>44.90564463</v>
      </c>
      <c r="O28" s="92">
        <v>99</v>
      </c>
      <c r="P28" s="92">
        <f>Q28*0.45359237</f>
        <v>22.1832272540995</v>
      </c>
      <c r="Q28" s="115">
        <f>N28+4</f>
        <v>48.90564463</v>
      </c>
      <c r="R28" s="116">
        <v>1</v>
      </c>
      <c r="S28" s="2" t="s">
        <v>135</v>
      </c>
      <c r="T28" s="2" t="s">
        <v>136</v>
      </c>
      <c r="U28" s="9"/>
      <c r="V28" s="9"/>
      <c r="W28" s="9"/>
      <c r="X28" s="9"/>
      <c r="Y28" s="9"/>
    </row>
    <row r="29" customHeight="1" spans="1:25">
      <c r="A29" s="13"/>
      <c r="B29" s="2" t="s">
        <v>316</v>
      </c>
      <c r="C29" s="2" t="s">
        <v>298</v>
      </c>
      <c r="D29" s="2">
        <v>110</v>
      </c>
      <c r="E29" s="2"/>
      <c r="F29" s="2" t="s">
        <v>321</v>
      </c>
      <c r="G29" s="2" t="s">
        <v>322</v>
      </c>
      <c r="H29" s="75" t="s">
        <v>312</v>
      </c>
      <c r="I29" s="9"/>
      <c r="J29" s="9" t="s">
        <v>319</v>
      </c>
      <c r="K29" s="9" t="s">
        <v>320</v>
      </c>
      <c r="L29" s="9"/>
      <c r="M29" s="9"/>
      <c r="N29" s="92">
        <f>O29*0.45359237</f>
        <v>52.16312255</v>
      </c>
      <c r="O29" s="92">
        <v>115</v>
      </c>
      <c r="P29" s="92">
        <f>Q29*0.45359237</f>
        <v>25.4751638640549</v>
      </c>
      <c r="Q29" s="115">
        <f>N29+4</f>
        <v>56.16312255</v>
      </c>
      <c r="R29" s="116">
        <v>1</v>
      </c>
      <c r="S29" s="2" t="s">
        <v>135</v>
      </c>
      <c r="T29" s="2" t="s">
        <v>136</v>
      </c>
      <c r="U29" s="9"/>
      <c r="V29" s="9"/>
      <c r="W29" s="9"/>
      <c r="X29" s="9"/>
      <c r="Y29" s="9"/>
    </row>
    <row r="30" customHeight="1" spans="1:25">
      <c r="A30" s="13"/>
      <c r="B30" s="2" t="s">
        <v>323</v>
      </c>
      <c r="C30" s="2" t="s">
        <v>324</v>
      </c>
      <c r="D30" s="2" t="s">
        <v>309</v>
      </c>
      <c r="E30" s="2"/>
      <c r="F30" s="2" t="s">
        <v>325</v>
      </c>
      <c r="G30" s="2" t="s">
        <v>326</v>
      </c>
      <c r="H30" s="75" t="s">
        <v>312</v>
      </c>
      <c r="I30" s="9"/>
      <c r="J30" s="9" t="s">
        <v>327</v>
      </c>
      <c r="K30" s="9" t="s">
        <v>328</v>
      </c>
      <c r="L30" s="9"/>
      <c r="M30" s="9"/>
      <c r="N30" s="92">
        <f>O30*0.45359237</f>
        <v>29.93709642</v>
      </c>
      <c r="O30" s="92">
        <v>66</v>
      </c>
      <c r="P30" s="92">
        <f>Q30*0.45359237</f>
        <v>15.3936079960663</v>
      </c>
      <c r="Q30" s="115">
        <f>N30+4</f>
        <v>33.93709642</v>
      </c>
      <c r="R30" s="116">
        <v>1</v>
      </c>
      <c r="S30" s="2" t="s">
        <v>135</v>
      </c>
      <c r="T30" s="2" t="s">
        <v>136</v>
      </c>
      <c r="U30" s="9"/>
      <c r="V30" s="9"/>
      <c r="W30" s="9"/>
      <c r="X30" s="9"/>
      <c r="Y30" s="9"/>
    </row>
    <row r="31" customHeight="1" spans="1:25">
      <c r="A31" s="13"/>
      <c r="B31" s="2"/>
      <c r="C31" s="2"/>
      <c r="D31" s="2"/>
      <c r="E31" s="2"/>
      <c r="F31" s="2"/>
      <c r="G31" s="2"/>
      <c r="H31" s="75"/>
      <c r="I31" s="9"/>
      <c r="J31" s="9"/>
      <c r="K31" s="9"/>
      <c r="L31" s="9"/>
      <c r="M31" s="9"/>
      <c r="N31" s="92"/>
      <c r="O31" s="92"/>
      <c r="P31" s="92"/>
      <c r="Q31" s="92"/>
      <c r="R31" s="117"/>
      <c r="S31" s="9"/>
      <c r="T31" s="9"/>
      <c r="U31" s="9"/>
      <c r="V31" s="9"/>
      <c r="W31" s="9"/>
      <c r="X31" s="9"/>
      <c r="Y31" s="9"/>
    </row>
    <row r="32" customHeight="1" spans="1:25">
      <c r="A32" s="13"/>
      <c r="B32" s="2"/>
      <c r="C32" s="2"/>
      <c r="D32" s="2"/>
      <c r="E32" s="2"/>
      <c r="F32" s="2"/>
      <c r="G32" s="2"/>
      <c r="H32" s="75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</sheetData>
  <mergeCells count="4">
    <mergeCell ref="B2:D2"/>
    <mergeCell ref="E2:Y2"/>
    <mergeCell ref="A9:A24"/>
    <mergeCell ref="A26:A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8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spans="1:25">
      <c r="A2" s="2"/>
      <c r="B2" s="5" t="s">
        <v>95</v>
      </c>
      <c r="C2" s="5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5" t="s">
        <v>73</v>
      </c>
      <c r="B3" s="8" t="s">
        <v>149</v>
      </c>
      <c r="C3" s="8" t="s">
        <v>329</v>
      </c>
      <c r="D3" s="6" t="s">
        <v>74</v>
      </c>
      <c r="E3" s="6" t="s">
        <v>25</v>
      </c>
      <c r="F3" s="6" t="s">
        <v>97</v>
      </c>
      <c r="G3" s="6" t="s">
        <v>150</v>
      </c>
      <c r="H3" s="6" t="s">
        <v>198</v>
      </c>
      <c r="I3" s="6" t="s">
        <v>98</v>
      </c>
      <c r="J3" s="6" t="s">
        <v>99</v>
      </c>
      <c r="K3" s="6" t="s">
        <v>152</v>
      </c>
      <c r="L3" s="6" t="s">
        <v>153</v>
      </c>
      <c r="M3" s="6" t="s">
        <v>102</v>
      </c>
      <c r="N3" s="6" t="s">
        <v>103</v>
      </c>
      <c r="O3" s="6" t="s">
        <v>104</v>
      </c>
      <c r="P3" s="6" t="s">
        <v>155</v>
      </c>
      <c r="Q3" s="6" t="s">
        <v>106</v>
      </c>
      <c r="R3" s="6" t="s">
        <v>109</v>
      </c>
      <c r="S3" s="6" t="s">
        <v>330</v>
      </c>
      <c r="T3" s="6" t="s">
        <v>331</v>
      </c>
      <c r="U3" s="6" t="s">
        <v>110</v>
      </c>
      <c r="V3" s="6" t="s">
        <v>111</v>
      </c>
      <c r="W3" s="6" t="s">
        <v>112</v>
      </c>
      <c r="X3" s="6" t="s">
        <v>332</v>
      </c>
      <c r="Y3" s="6" t="s">
        <v>156</v>
      </c>
    </row>
    <row r="4" ht="36" customHeight="1" spans="1:25">
      <c r="A4" s="5" t="s">
        <v>287</v>
      </c>
      <c r="B4" s="2" t="s">
        <v>122</v>
      </c>
      <c r="C4" s="2" t="s">
        <v>122</v>
      </c>
      <c r="D4" s="2" t="s">
        <v>157</v>
      </c>
      <c r="E4" s="2" t="s">
        <v>78</v>
      </c>
      <c r="F4" s="2" t="s">
        <v>78</v>
      </c>
      <c r="G4" s="2" t="s">
        <v>157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124</v>
      </c>
      <c r="P4" s="2" t="s">
        <v>124</v>
      </c>
      <c r="Q4" s="2" t="s">
        <v>125</v>
      </c>
      <c r="R4" s="2" t="s">
        <v>78</v>
      </c>
      <c r="S4" s="2" t="s">
        <v>78</v>
      </c>
      <c r="T4" s="2" t="s">
        <v>78</v>
      </c>
      <c r="U4" s="2" t="s">
        <v>78</v>
      </c>
      <c r="V4" s="2"/>
      <c r="W4" s="2"/>
      <c r="X4" s="2"/>
      <c r="Y4" s="2" t="s">
        <v>158</v>
      </c>
    </row>
    <row r="5" ht="36" customHeight="1" spans="1:25">
      <c r="A5" s="46" t="s">
        <v>126</v>
      </c>
      <c r="B5" s="2" t="s">
        <v>84</v>
      </c>
      <c r="C5" s="2" t="s">
        <v>84</v>
      </c>
      <c r="D5" s="2" t="s">
        <v>84</v>
      </c>
      <c r="E5" s="2" t="s">
        <v>84</v>
      </c>
      <c r="F5" s="2"/>
      <c r="G5" s="2" t="s">
        <v>84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7.75" customHeight="1" spans="1:25">
      <c r="A6" s="5" t="s">
        <v>80</v>
      </c>
      <c r="B6" s="2" t="s">
        <v>84</v>
      </c>
      <c r="C6" s="2" t="s">
        <v>84</v>
      </c>
      <c r="D6" s="2" t="s">
        <v>84</v>
      </c>
      <c r="E6" s="2" t="s">
        <v>84</v>
      </c>
      <c r="F6" s="2"/>
      <c r="G6" s="2" t="s">
        <v>84</v>
      </c>
      <c r="H6" s="2"/>
      <c r="I6" s="38"/>
      <c r="J6" s="38"/>
      <c r="K6" s="2" t="s">
        <v>84</v>
      </c>
      <c r="L6" s="38"/>
      <c r="M6" s="38"/>
      <c r="N6" s="38"/>
      <c r="O6" s="38"/>
      <c r="P6" s="38"/>
      <c r="Q6" s="2" t="s">
        <v>84</v>
      </c>
      <c r="R6" s="2" t="s">
        <v>84</v>
      </c>
      <c r="S6" s="2" t="s">
        <v>84</v>
      </c>
      <c r="T6" s="2" t="s">
        <v>84</v>
      </c>
      <c r="U6" s="38"/>
      <c r="V6" s="2"/>
      <c r="W6" s="2"/>
      <c r="X6" s="2"/>
      <c r="Y6" s="2"/>
    </row>
    <row r="7" ht="27.75" customHeight="1" spans="1:25">
      <c r="A7" s="5" t="s">
        <v>81</v>
      </c>
      <c r="B7" s="2" t="s">
        <v>84</v>
      </c>
      <c r="C7" s="2" t="s">
        <v>84</v>
      </c>
      <c r="D7" s="2" t="s">
        <v>84</v>
      </c>
      <c r="E7" s="2" t="s">
        <v>84</v>
      </c>
      <c r="F7" s="2"/>
      <c r="G7" s="2" t="s">
        <v>84</v>
      </c>
      <c r="H7" s="2"/>
      <c r="I7" s="38"/>
      <c r="J7" s="38"/>
      <c r="K7" s="2" t="s">
        <v>84</v>
      </c>
      <c r="L7" s="38"/>
      <c r="M7" s="38"/>
      <c r="N7" s="38"/>
      <c r="O7" s="38"/>
      <c r="P7" s="38"/>
      <c r="Q7" s="2" t="s">
        <v>84</v>
      </c>
      <c r="R7" s="2" t="s">
        <v>84</v>
      </c>
      <c r="S7" s="2" t="s">
        <v>84</v>
      </c>
      <c r="T7" s="2" t="s">
        <v>84</v>
      </c>
      <c r="U7" s="2"/>
      <c r="V7" s="2"/>
      <c r="W7" s="2"/>
      <c r="X7" s="2"/>
      <c r="Y7" s="2"/>
    </row>
    <row r="8" ht="40" customHeight="1" spans="1:25">
      <c r="A8" s="10" t="s">
        <v>82</v>
      </c>
      <c r="B8" s="2"/>
      <c r="C8" s="2"/>
      <c r="D8" s="2"/>
      <c r="E8" s="2"/>
      <c r="F8" s="2"/>
      <c r="G8" s="2"/>
      <c r="H8" s="2" t="s">
        <v>84</v>
      </c>
      <c r="I8" s="2" t="s">
        <v>84</v>
      </c>
      <c r="J8" s="2" t="s">
        <v>84</v>
      </c>
      <c r="K8" s="2"/>
      <c r="L8" s="2"/>
      <c r="M8" s="2" t="s">
        <v>84</v>
      </c>
      <c r="N8" s="2" t="s">
        <v>84</v>
      </c>
      <c r="O8" s="2"/>
      <c r="P8" s="2"/>
      <c r="Q8" s="2"/>
      <c r="R8" s="2"/>
      <c r="S8" s="2"/>
      <c r="T8" s="2"/>
      <c r="U8" s="2" t="s">
        <v>84</v>
      </c>
      <c r="V8" s="2" t="s">
        <v>84</v>
      </c>
      <c r="W8" s="2" t="s">
        <v>84</v>
      </c>
      <c r="X8" s="2" t="s">
        <v>84</v>
      </c>
      <c r="Y8" s="2"/>
    </row>
    <row r="9" ht="27.75" customHeight="1" spans="1:25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/>
      <c r="I9" s="38"/>
      <c r="J9" s="38"/>
      <c r="K9" s="2" t="s">
        <v>84</v>
      </c>
      <c r="L9" s="38"/>
      <c r="M9" s="38"/>
      <c r="N9" s="38"/>
      <c r="O9" s="38"/>
      <c r="P9" s="38"/>
      <c r="Q9" s="38"/>
      <c r="R9" s="2"/>
      <c r="S9" s="38"/>
      <c r="T9" s="38"/>
      <c r="U9" s="38"/>
      <c r="V9" s="2"/>
      <c r="W9" s="2"/>
      <c r="X9" s="2"/>
      <c r="Y9" s="2"/>
    </row>
    <row r="10" ht="18" customHeight="1" spans="1:25">
      <c r="A10" s="38"/>
      <c r="B10" s="11"/>
      <c r="C10" s="11"/>
      <c r="D10" s="2"/>
      <c r="E10" s="2"/>
      <c r="F10" s="2"/>
      <c r="G10" s="2"/>
      <c r="H10" s="2"/>
      <c r="I10" s="38"/>
      <c r="J10" s="38"/>
      <c r="K10" s="38"/>
      <c r="L10" s="38"/>
      <c r="M10" s="38"/>
      <c r="N10" s="38"/>
      <c r="O10" s="38"/>
      <c r="P10" s="38"/>
      <c r="Q10" s="38"/>
      <c r="R10" s="2"/>
      <c r="S10" s="38"/>
      <c r="T10" s="38"/>
      <c r="U10" s="38"/>
      <c r="V10" s="2"/>
      <c r="W10" s="2"/>
      <c r="X10" s="2"/>
      <c r="Y10" s="2"/>
    </row>
    <row r="11" customHeight="1" spans="1:25">
      <c r="A11" s="11" t="s">
        <v>85</v>
      </c>
      <c r="B11" s="12"/>
      <c r="C11" s="1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v>1</v>
      </c>
      <c r="R11" s="2"/>
      <c r="S11" s="2" t="s">
        <v>135</v>
      </c>
      <c r="T11" s="2" t="s">
        <v>136</v>
      </c>
      <c r="U11" s="2"/>
      <c r="V11" s="2"/>
      <c r="W11" s="2"/>
      <c r="X11" s="2"/>
      <c r="Y11" s="2"/>
    </row>
    <row r="12" customHeight="1" spans="1:25">
      <c r="A12" s="13"/>
      <c r="B12" s="12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v>1</v>
      </c>
      <c r="R12" s="2"/>
      <c r="S12" s="2" t="s">
        <v>135</v>
      </c>
      <c r="T12" s="2" t="s">
        <v>136</v>
      </c>
      <c r="U12" s="2"/>
      <c r="V12" s="2"/>
      <c r="W12" s="2"/>
      <c r="X12" s="2"/>
      <c r="Y12" s="2"/>
    </row>
    <row r="13" customHeight="1" spans="1:25">
      <c r="A13" s="13"/>
      <c r="B13" s="12"/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v>1</v>
      </c>
      <c r="R13" s="2"/>
      <c r="S13" s="2" t="s">
        <v>135</v>
      </c>
      <c r="T13" s="2" t="s">
        <v>136</v>
      </c>
      <c r="U13" s="2"/>
      <c r="V13" s="2"/>
      <c r="W13" s="2"/>
      <c r="X13" s="2"/>
      <c r="Y13" s="2"/>
    </row>
    <row r="14" customHeight="1" spans="1:25">
      <c r="A14" s="13"/>
      <c r="B14" s="12"/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1</v>
      </c>
      <c r="R14" s="2"/>
      <c r="S14" s="2" t="s">
        <v>135</v>
      </c>
      <c r="T14" s="2" t="s">
        <v>136</v>
      </c>
      <c r="U14" s="2"/>
      <c r="V14" s="2"/>
      <c r="W14" s="2"/>
      <c r="X14" s="2"/>
      <c r="Y14" s="2"/>
    </row>
    <row r="15" customHeight="1" spans="1:25">
      <c r="A15" s="13"/>
      <c r="B15" s="12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v>1</v>
      </c>
      <c r="R15" s="2"/>
      <c r="S15" s="2" t="s">
        <v>135</v>
      </c>
      <c r="T15" s="2" t="s">
        <v>136</v>
      </c>
      <c r="U15" s="2"/>
      <c r="V15" s="2"/>
      <c r="W15" s="2"/>
      <c r="X15" s="2"/>
      <c r="Y15" s="2"/>
    </row>
    <row r="16" customHeight="1" spans="1:25">
      <c r="A16" s="13"/>
      <c r="B16" s="12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Height="1" spans="1:25">
      <c r="A17" s="13"/>
      <c r="B17" s="12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Height="1" spans="1:25">
      <c r="A18" s="13"/>
      <c r="B18" s="12"/>
      <c r="C18" s="1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</sheetData>
  <mergeCells count="2">
    <mergeCell ref="B2:Y2"/>
    <mergeCell ref="A11:A1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3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7" max="7" width="13.8472222222222" customWidth="1"/>
    <col min="8" max="8" width="14.9236111111111" customWidth="1"/>
    <col min="9" max="9" width="27.1527777777778" customWidth="1"/>
    <col min="17" max="18" width="8.84722222222222" customWidth="1"/>
    <col min="20" max="20" width="12.6111111111111" customWidth="1"/>
    <col min="24" max="24" width="10.0763888888889" customWidth="1"/>
    <col min="25" max="25" width="10.4583333333333" customWidth="1"/>
    <col min="32" max="32" width="9.07638888888889" customWidth="1"/>
    <col min="33" max="33" width="9.38194444444444" customWidth="1"/>
  </cols>
  <sheetData>
    <row r="1" customHeight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Height="1" spans="1:35">
      <c r="A2" s="16"/>
      <c r="B2" s="70" t="s">
        <v>94</v>
      </c>
      <c r="C2" s="48"/>
      <c r="D2" s="71" t="s">
        <v>95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101"/>
    </row>
    <row r="3" ht="50" customHeight="1" spans="1:35">
      <c r="A3" s="19" t="s">
        <v>73</v>
      </c>
      <c r="B3" s="72" t="s">
        <v>7</v>
      </c>
      <c r="C3" s="14" t="s">
        <v>333</v>
      </c>
      <c r="D3" s="20" t="s">
        <v>334</v>
      </c>
      <c r="E3" s="72" t="s">
        <v>74</v>
      </c>
      <c r="F3" s="72" t="s">
        <v>2</v>
      </c>
      <c r="G3" s="72" t="s">
        <v>193</v>
      </c>
      <c r="H3" s="20" t="s">
        <v>75</v>
      </c>
      <c r="I3" s="87" t="s">
        <v>76</v>
      </c>
      <c r="J3" s="88" t="s">
        <v>97</v>
      </c>
      <c r="K3" s="72" t="s">
        <v>335</v>
      </c>
      <c r="L3" s="72" t="s">
        <v>336</v>
      </c>
      <c r="M3" s="72" t="s">
        <v>337</v>
      </c>
      <c r="N3" s="72" t="s">
        <v>338</v>
      </c>
      <c r="O3" s="72" t="s">
        <v>196</v>
      </c>
      <c r="P3" s="72" t="s">
        <v>197</v>
      </c>
      <c r="Q3" s="72" t="s">
        <v>339</v>
      </c>
      <c r="R3" s="72" t="s">
        <v>182</v>
      </c>
      <c r="S3" s="72" t="s">
        <v>340</v>
      </c>
      <c r="T3" s="72" t="s">
        <v>98</v>
      </c>
      <c r="U3" s="72" t="s">
        <v>99</v>
      </c>
      <c r="V3" s="72" t="s">
        <v>152</v>
      </c>
      <c r="W3" s="72" t="s">
        <v>153</v>
      </c>
      <c r="X3" s="72" t="s">
        <v>102</v>
      </c>
      <c r="Y3" s="72" t="s">
        <v>103</v>
      </c>
      <c r="Z3" s="72" t="s">
        <v>104</v>
      </c>
      <c r="AA3" s="72" t="s">
        <v>155</v>
      </c>
      <c r="AB3" s="72" t="s">
        <v>106</v>
      </c>
      <c r="AC3" s="72" t="s">
        <v>107</v>
      </c>
      <c r="AD3" s="72" t="s">
        <v>108</v>
      </c>
      <c r="AE3" s="72" t="s">
        <v>109</v>
      </c>
      <c r="AF3" s="72" t="s">
        <v>112</v>
      </c>
      <c r="AG3" s="72" t="s">
        <v>113</v>
      </c>
      <c r="AH3" s="72" t="s">
        <v>110</v>
      </c>
      <c r="AI3" s="72" t="s">
        <v>111</v>
      </c>
    </row>
    <row r="4" ht="60" customHeight="1" spans="1:35">
      <c r="A4" s="21" t="s">
        <v>287</v>
      </c>
      <c r="B4" s="73" t="s">
        <v>341</v>
      </c>
      <c r="C4" s="2" t="s">
        <v>122</v>
      </c>
      <c r="D4" s="2" t="s">
        <v>342</v>
      </c>
      <c r="E4" s="2" t="s">
        <v>342</v>
      </c>
      <c r="F4" s="2" t="s">
        <v>78</v>
      </c>
      <c r="G4" s="2" t="s">
        <v>78</v>
      </c>
      <c r="H4" s="35" t="s">
        <v>78</v>
      </c>
      <c r="I4" s="35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342</v>
      </c>
      <c r="T4" s="2" t="s">
        <v>78</v>
      </c>
      <c r="U4" s="2" t="s">
        <v>78</v>
      </c>
      <c r="V4" s="2" t="s">
        <v>78</v>
      </c>
      <c r="W4" s="2" t="s">
        <v>78</v>
      </c>
      <c r="X4" s="2" t="s">
        <v>124</v>
      </c>
      <c r="Y4" s="2" t="s">
        <v>124</v>
      </c>
      <c r="Z4" s="2" t="s">
        <v>78</v>
      </c>
      <c r="AA4" s="2" t="s">
        <v>78</v>
      </c>
      <c r="AB4" s="2" t="s">
        <v>125</v>
      </c>
      <c r="AC4" s="2" t="s">
        <v>78</v>
      </c>
      <c r="AD4" s="2" t="s">
        <v>78</v>
      </c>
      <c r="AE4" s="2" t="s">
        <v>78</v>
      </c>
      <c r="AF4" s="2" t="s">
        <v>78</v>
      </c>
      <c r="AG4" s="2" t="s">
        <v>78</v>
      </c>
      <c r="AH4" s="2" t="s">
        <v>78</v>
      </c>
      <c r="AI4" s="2" t="s">
        <v>78</v>
      </c>
    </row>
    <row r="5" ht="35" customHeight="1" spans="1:35">
      <c r="A5" s="19" t="s">
        <v>80</v>
      </c>
      <c r="B5" s="23"/>
      <c r="C5" s="36" t="s">
        <v>84</v>
      </c>
      <c r="D5" s="36" t="s">
        <v>84</v>
      </c>
      <c r="E5" s="36" t="s">
        <v>84</v>
      </c>
      <c r="F5" s="36" t="s">
        <v>84</v>
      </c>
      <c r="G5" s="36" t="s">
        <v>84</v>
      </c>
      <c r="H5" s="36" t="s">
        <v>84</v>
      </c>
      <c r="I5" s="36" t="s">
        <v>84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8"/>
      <c r="U5" s="38"/>
      <c r="V5" s="2" t="s">
        <v>84</v>
      </c>
      <c r="W5" s="38"/>
      <c r="X5" s="38"/>
      <c r="Y5" s="38"/>
      <c r="Z5" s="38"/>
      <c r="AA5" s="95"/>
      <c r="AB5" s="36" t="s">
        <v>84</v>
      </c>
      <c r="AC5" s="99"/>
      <c r="AD5" s="99"/>
      <c r="AE5" s="36"/>
      <c r="AF5" s="99"/>
      <c r="AG5" s="99"/>
      <c r="AH5" s="99"/>
      <c r="AI5" s="102"/>
    </row>
    <row r="6" ht="27.75" customHeight="1" spans="1:35">
      <c r="A6" s="19" t="s">
        <v>81</v>
      </c>
      <c r="B6" s="2"/>
      <c r="C6" s="36" t="s">
        <v>84</v>
      </c>
      <c r="D6" s="36" t="s">
        <v>84</v>
      </c>
      <c r="E6" s="36" t="s">
        <v>84</v>
      </c>
      <c r="F6" s="36" t="s">
        <v>84</v>
      </c>
      <c r="G6" s="36" t="s">
        <v>84</v>
      </c>
      <c r="H6" s="36" t="s">
        <v>84</v>
      </c>
      <c r="I6" s="36" t="s">
        <v>84</v>
      </c>
      <c r="J6" s="36"/>
      <c r="K6" s="2"/>
      <c r="L6" s="2"/>
      <c r="M6" s="2"/>
      <c r="N6" s="2"/>
      <c r="O6" s="2"/>
      <c r="P6" s="2"/>
      <c r="Q6" s="2"/>
      <c r="R6" s="2"/>
      <c r="S6" s="2"/>
      <c r="T6" s="38"/>
      <c r="U6" s="38"/>
      <c r="V6" s="2" t="s">
        <v>84</v>
      </c>
      <c r="W6" s="38"/>
      <c r="X6" s="38"/>
      <c r="Y6" s="38"/>
      <c r="Z6" s="38"/>
      <c r="AA6" s="95"/>
      <c r="AB6" s="36" t="s">
        <v>84</v>
      </c>
      <c r="AC6" s="38"/>
      <c r="AD6" s="38"/>
      <c r="AE6" s="2"/>
      <c r="AF6" s="38"/>
      <c r="AG6" s="38"/>
      <c r="AH6" s="38"/>
      <c r="AI6" s="103"/>
    </row>
    <row r="7" ht="45" customHeight="1" spans="1:35">
      <c r="A7" s="24" t="s">
        <v>82</v>
      </c>
      <c r="B7" s="2"/>
      <c r="C7" s="2"/>
      <c r="D7" s="2"/>
      <c r="E7" s="2"/>
      <c r="F7" s="2"/>
      <c r="G7" s="2"/>
      <c r="H7" s="2"/>
      <c r="I7" s="36"/>
      <c r="J7" s="36"/>
      <c r="K7" s="36" t="s">
        <v>84</v>
      </c>
      <c r="L7" s="36" t="s">
        <v>84</v>
      </c>
      <c r="M7" s="36" t="s">
        <v>84</v>
      </c>
      <c r="N7" s="36" t="s">
        <v>84</v>
      </c>
      <c r="O7" s="36" t="s">
        <v>84</v>
      </c>
      <c r="P7" s="36" t="s">
        <v>84</v>
      </c>
      <c r="Q7" s="36" t="s">
        <v>84</v>
      </c>
      <c r="R7" s="36" t="s">
        <v>84</v>
      </c>
      <c r="S7" s="36" t="s">
        <v>84</v>
      </c>
      <c r="T7" s="2" t="s">
        <v>84</v>
      </c>
      <c r="U7" s="2" t="s">
        <v>84</v>
      </c>
      <c r="V7" s="2"/>
      <c r="W7" s="2"/>
      <c r="X7" s="2" t="s">
        <v>84</v>
      </c>
      <c r="Y7" s="2" t="s">
        <v>84</v>
      </c>
      <c r="Z7" s="2"/>
      <c r="AA7" s="2"/>
      <c r="AB7" s="36"/>
      <c r="AC7" s="36" t="s">
        <v>84</v>
      </c>
      <c r="AD7" s="36" t="s">
        <v>84</v>
      </c>
      <c r="AE7" s="36" t="s">
        <v>84</v>
      </c>
      <c r="AF7" s="36" t="s">
        <v>84</v>
      </c>
      <c r="AG7" s="36" t="s">
        <v>84</v>
      </c>
      <c r="AH7" s="36" t="s">
        <v>84</v>
      </c>
      <c r="AI7" s="36" t="s">
        <v>84</v>
      </c>
    </row>
    <row r="8" ht="27.75" customHeight="1" spans="1:35">
      <c r="A8" s="19" t="s">
        <v>83</v>
      </c>
      <c r="B8" s="25"/>
      <c r="C8" s="36" t="s">
        <v>84</v>
      </c>
      <c r="D8" s="36"/>
      <c r="E8" s="36" t="s">
        <v>84</v>
      </c>
      <c r="F8" s="36" t="s">
        <v>84</v>
      </c>
      <c r="G8" s="36" t="s">
        <v>84</v>
      </c>
      <c r="H8" s="36" t="s">
        <v>84</v>
      </c>
      <c r="I8" s="36" t="s">
        <v>84</v>
      </c>
      <c r="J8" s="36" t="s">
        <v>84</v>
      </c>
      <c r="K8" s="25"/>
      <c r="L8" s="25"/>
      <c r="M8" s="25"/>
      <c r="N8" s="25"/>
      <c r="O8" s="25"/>
      <c r="P8" s="25"/>
      <c r="Q8" s="25"/>
      <c r="R8" s="25"/>
      <c r="S8" s="25"/>
      <c r="T8" s="93"/>
      <c r="U8" s="94"/>
      <c r="V8" s="2" t="s">
        <v>84</v>
      </c>
      <c r="W8" s="94"/>
      <c r="X8" s="94"/>
      <c r="Y8" s="94"/>
      <c r="Z8" s="94"/>
      <c r="AA8" s="96"/>
      <c r="AB8" s="97"/>
      <c r="AC8" s="44"/>
      <c r="AD8" s="44"/>
      <c r="AE8" s="25"/>
      <c r="AF8" s="44"/>
      <c r="AG8" s="44"/>
      <c r="AH8" s="44"/>
      <c r="AI8" s="104"/>
    </row>
    <row r="9" customHeight="1" spans="1:35">
      <c r="A9" s="74" t="s">
        <v>127</v>
      </c>
      <c r="B9" s="75" t="s">
        <v>289</v>
      </c>
      <c r="C9" s="76" t="s">
        <v>290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customHeight="1" spans="1:35">
      <c r="A10" s="13"/>
      <c r="B10" s="75" t="s">
        <v>291</v>
      </c>
      <c r="C10" s="76" t="s">
        <v>292</v>
      </c>
      <c r="D10" s="9"/>
      <c r="E10" s="9"/>
      <c r="F10" s="9"/>
      <c r="G10" s="9"/>
      <c r="H10" s="9"/>
      <c r="I10" s="9"/>
      <c r="J10" s="9"/>
      <c r="K10" s="9"/>
      <c r="L10" s="9"/>
      <c r="M10" s="8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29"/>
      <c r="AD10" s="29"/>
      <c r="AE10" s="9"/>
      <c r="AF10" s="29"/>
      <c r="AG10" s="29"/>
      <c r="AH10" s="29"/>
      <c r="AI10" s="29"/>
    </row>
    <row r="11" customHeight="1" spans="1:35">
      <c r="A11" s="13"/>
      <c r="B11" s="75" t="s">
        <v>293</v>
      </c>
      <c r="C11" s="76" t="s">
        <v>294</v>
      </c>
      <c r="D11" s="9"/>
      <c r="E11" s="9"/>
      <c r="F11" s="9"/>
      <c r="G11" s="9"/>
      <c r="H11" s="9"/>
      <c r="I11" s="9"/>
      <c r="J11" s="9"/>
      <c r="K11" s="9"/>
      <c r="L11" s="9"/>
      <c r="M11" s="9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29"/>
      <c r="AD11" s="29"/>
      <c r="AE11" s="9"/>
      <c r="AF11" s="29"/>
      <c r="AG11" s="29"/>
      <c r="AH11" s="29"/>
      <c r="AI11" s="29"/>
    </row>
    <row r="12" customHeight="1" spans="1:35">
      <c r="A12" s="13"/>
      <c r="B12" s="75"/>
      <c r="C12" s="76" t="s">
        <v>295</v>
      </c>
      <c r="D12" s="9"/>
      <c r="E12" s="9"/>
      <c r="F12" s="9"/>
      <c r="G12" s="9"/>
      <c r="H12" s="9"/>
      <c r="I12" s="9"/>
      <c r="J12" s="9"/>
      <c r="K12" s="9"/>
      <c r="L12" s="9"/>
      <c r="M12" s="9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29"/>
      <c r="AG12" s="29"/>
      <c r="AH12" s="29"/>
      <c r="AI12" s="29"/>
    </row>
    <row r="13" customHeight="1" spans="1:35">
      <c r="A13" s="13"/>
      <c r="B13" s="75"/>
      <c r="C13" s="77" t="s">
        <v>296</v>
      </c>
      <c r="D13" s="2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customHeight="1" spans="1:35">
      <c r="A14" s="13"/>
      <c r="B14" s="75"/>
      <c r="C14" s="78" t="s">
        <v>297</v>
      </c>
      <c r="D14" s="2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customHeight="1" spans="1:35">
      <c r="A15" s="13"/>
      <c r="B15" s="75"/>
      <c r="C15" s="78" t="s">
        <v>298</v>
      </c>
      <c r="D15" s="2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ht="27.75" customHeight="1" spans="1:35">
      <c r="A16" s="13"/>
      <c r="B16" s="75"/>
      <c r="C16" s="79" t="s">
        <v>299</v>
      </c>
      <c r="D16" s="2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ht="27.75" customHeight="1" spans="1:35">
      <c r="A17" s="13"/>
      <c r="B17" s="75"/>
      <c r="C17" s="79" t="s">
        <v>300</v>
      </c>
      <c r="D17" s="2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ht="41.25" customHeight="1" spans="1:35">
      <c r="A18" s="13"/>
      <c r="B18" s="75"/>
      <c r="C18" s="79" t="s">
        <v>301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ht="41.25" customHeight="1" spans="1:35">
      <c r="A19" s="13"/>
      <c r="B19" s="75"/>
      <c r="C19" s="79" t="s">
        <v>302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customHeight="1" spans="1:35">
      <c r="A20" s="13"/>
      <c r="B20" s="75"/>
      <c r="C20" s="79" t="s">
        <v>303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customHeight="1" spans="1:35">
      <c r="A21" s="13"/>
      <c r="B21" s="75"/>
      <c r="C21" s="79" t="s">
        <v>304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customHeight="1" spans="1:35">
      <c r="A22" s="13"/>
      <c r="B22" s="80"/>
      <c r="C22" s="79" t="s">
        <v>305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</row>
    <row r="23" customHeight="1" spans="1:35">
      <c r="A23" s="13"/>
      <c r="B23" s="80"/>
      <c r="C23" s="82" t="s">
        <v>306</v>
      </c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 customHeight="1" spans="1:35">
      <c r="A24" s="13"/>
      <c r="B24" s="80"/>
      <c r="C24" s="81" t="s">
        <v>307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</row>
    <row r="25" customHeight="1" spans="1:35">
      <c r="A25" s="83"/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</row>
    <row r="26" customHeight="1" spans="1:35">
      <c r="A26" s="81" t="s">
        <v>85</v>
      </c>
      <c r="B26" s="84" t="s">
        <v>308</v>
      </c>
      <c r="C26" s="84" t="s">
        <v>343</v>
      </c>
      <c r="D26" s="9"/>
      <c r="E26" s="9" t="s">
        <v>344</v>
      </c>
      <c r="F26" s="9"/>
      <c r="G26" s="9" t="s">
        <v>345</v>
      </c>
      <c r="H26" s="9"/>
      <c r="I26" s="9" t="s">
        <v>346</v>
      </c>
      <c r="J26" s="9" t="s">
        <v>347</v>
      </c>
      <c r="K26" s="9">
        <v>70</v>
      </c>
      <c r="L26" s="9">
        <v>43</v>
      </c>
      <c r="M26" s="92">
        <v>19</v>
      </c>
      <c r="N26" s="92">
        <v>7.5</v>
      </c>
      <c r="O26" s="9">
        <v>500</v>
      </c>
      <c r="P26" s="9">
        <v>1640</v>
      </c>
      <c r="Q26" s="9">
        <v>1</v>
      </c>
      <c r="R26" s="9" t="s">
        <v>348</v>
      </c>
      <c r="S26" s="9"/>
      <c r="T26" s="9" t="s">
        <v>134</v>
      </c>
      <c r="U26" s="9" t="s">
        <v>349</v>
      </c>
      <c r="V26" s="9"/>
      <c r="W26" s="9"/>
      <c r="X26" s="92">
        <f>Y26*0.45359237</f>
        <v>4.5359237</v>
      </c>
      <c r="Y26" s="92">
        <v>10</v>
      </c>
      <c r="Z26" s="92">
        <f>AA26*0.45359237</f>
        <v>4.98951607</v>
      </c>
      <c r="AA26" s="92">
        <f>Y26+1</f>
        <v>11</v>
      </c>
      <c r="AB26" s="98"/>
      <c r="AC26" s="2" t="s">
        <v>135</v>
      </c>
      <c r="AD26" s="2" t="s">
        <v>136</v>
      </c>
      <c r="AE26" s="9">
        <v>80</v>
      </c>
      <c r="AF26" s="100">
        <f>AG26*0.45359237</f>
        <v>399.1612856</v>
      </c>
      <c r="AG26" s="9">
        <f>AA26*AE26</f>
        <v>880</v>
      </c>
      <c r="AH26" s="9">
        <v>254</v>
      </c>
      <c r="AI26" s="9">
        <v>100</v>
      </c>
    </row>
    <row r="27" customHeight="1" spans="1:35">
      <c r="A27" s="85"/>
      <c r="B27" s="84" t="s">
        <v>350</v>
      </c>
      <c r="C27" s="84" t="s">
        <v>351</v>
      </c>
      <c r="D27" s="9"/>
      <c r="E27" s="9" t="s">
        <v>352</v>
      </c>
      <c r="F27" s="9"/>
      <c r="G27" s="9" t="s">
        <v>353</v>
      </c>
      <c r="H27" s="9"/>
      <c r="I27" s="9" t="s">
        <v>354</v>
      </c>
      <c r="J27" s="9" t="s">
        <v>347</v>
      </c>
      <c r="K27" s="9">
        <v>50</v>
      </c>
      <c r="L27" s="9">
        <v>30</v>
      </c>
      <c r="M27" s="92">
        <v>38</v>
      </c>
      <c r="N27" s="92">
        <v>15</v>
      </c>
      <c r="O27" s="9">
        <v>500</v>
      </c>
      <c r="P27" s="9">
        <v>1640</v>
      </c>
      <c r="Q27" s="9">
        <v>1</v>
      </c>
      <c r="R27" s="9" t="s">
        <v>348</v>
      </c>
      <c r="S27" s="9"/>
      <c r="T27" s="9" t="s">
        <v>134</v>
      </c>
      <c r="U27" s="9" t="s">
        <v>349</v>
      </c>
      <c r="V27" s="9"/>
      <c r="W27" s="9"/>
      <c r="X27" s="92">
        <f>Y27*0.45359237</f>
        <v>4.5359237</v>
      </c>
      <c r="Y27" s="92">
        <v>10</v>
      </c>
      <c r="Z27" s="92">
        <f>AA27*0.45359237</f>
        <v>4.98951607</v>
      </c>
      <c r="AA27" s="92">
        <f>Y27+1</f>
        <v>11</v>
      </c>
      <c r="AB27" s="98"/>
      <c r="AC27" s="2" t="s">
        <v>135</v>
      </c>
      <c r="AD27" s="2" t="s">
        <v>136</v>
      </c>
      <c r="AE27" s="9">
        <v>60</v>
      </c>
      <c r="AF27" s="100">
        <f>AG27*0.45359237</f>
        <v>299.3709642</v>
      </c>
      <c r="AG27" s="9">
        <f>AA27*AE27</f>
        <v>660</v>
      </c>
      <c r="AH27" s="9">
        <v>254</v>
      </c>
      <c r="AI27" s="9">
        <v>100</v>
      </c>
    </row>
    <row r="28" customHeight="1" spans="1:35">
      <c r="A28" s="85"/>
      <c r="B28" s="84" t="s">
        <v>355</v>
      </c>
      <c r="C28" s="84" t="s">
        <v>356</v>
      </c>
      <c r="D28" s="9"/>
      <c r="E28" s="9" t="s">
        <v>357</v>
      </c>
      <c r="F28" s="9"/>
      <c r="G28" s="9" t="s">
        <v>358</v>
      </c>
      <c r="H28" s="9"/>
      <c r="I28" s="9" t="s">
        <v>359</v>
      </c>
      <c r="J28" s="9" t="s">
        <v>347</v>
      </c>
      <c r="K28" s="9">
        <v>70</v>
      </c>
      <c r="L28" s="9">
        <v>43</v>
      </c>
      <c r="M28" s="92">
        <v>38</v>
      </c>
      <c r="N28" s="92">
        <v>15</v>
      </c>
      <c r="O28" s="9">
        <v>360</v>
      </c>
      <c r="P28" s="9">
        <v>1181</v>
      </c>
      <c r="Q28" s="9">
        <v>1</v>
      </c>
      <c r="R28" s="9" t="s">
        <v>360</v>
      </c>
      <c r="S28" s="9"/>
      <c r="T28" s="9" t="s">
        <v>134</v>
      </c>
      <c r="U28" s="9" t="s">
        <v>349</v>
      </c>
      <c r="V28" s="9"/>
      <c r="W28" s="9"/>
      <c r="X28" s="92">
        <f>Y28*0.45359237</f>
        <v>4.5359237</v>
      </c>
      <c r="Y28" s="92">
        <v>10</v>
      </c>
      <c r="Z28" s="92">
        <f>AA28*0.45359237</f>
        <v>4.98951607</v>
      </c>
      <c r="AA28" s="92">
        <f>Y28+1</f>
        <v>11</v>
      </c>
      <c r="AB28" s="98"/>
      <c r="AC28" s="2" t="s">
        <v>135</v>
      </c>
      <c r="AD28" s="2" t="s">
        <v>136</v>
      </c>
      <c r="AE28" s="9">
        <v>60</v>
      </c>
      <c r="AF28" s="100">
        <f>AG28*0.45359237</f>
        <v>299.3709642</v>
      </c>
      <c r="AG28" s="9">
        <f>AA28*AE28</f>
        <v>660</v>
      </c>
      <c r="AH28" s="9">
        <v>254</v>
      </c>
      <c r="AI28" s="9">
        <v>100</v>
      </c>
    </row>
    <row r="29" customHeight="1" spans="1:35">
      <c r="A29" s="85"/>
      <c r="B29" s="84" t="s">
        <v>355</v>
      </c>
      <c r="C29" s="84" t="s">
        <v>361</v>
      </c>
      <c r="D29" s="9"/>
      <c r="E29" s="9" t="s">
        <v>362</v>
      </c>
      <c r="F29" s="9"/>
      <c r="G29" s="9" t="s">
        <v>363</v>
      </c>
      <c r="H29" s="9"/>
      <c r="I29" s="9" t="s">
        <v>364</v>
      </c>
      <c r="J29" s="9" t="s">
        <v>347</v>
      </c>
      <c r="K29" s="9">
        <v>70</v>
      </c>
      <c r="L29" s="9">
        <v>43</v>
      </c>
      <c r="M29" s="92">
        <v>76.2</v>
      </c>
      <c r="N29" s="92">
        <v>30</v>
      </c>
      <c r="O29" s="9">
        <v>200</v>
      </c>
      <c r="P29" s="9">
        <v>656</v>
      </c>
      <c r="Q29" s="9">
        <v>2</v>
      </c>
      <c r="R29" s="9" t="s">
        <v>348</v>
      </c>
      <c r="S29" s="9"/>
      <c r="T29" s="9" t="s">
        <v>134</v>
      </c>
      <c r="U29" s="9" t="s">
        <v>349</v>
      </c>
      <c r="V29" s="9"/>
      <c r="W29" s="9"/>
      <c r="X29" s="92">
        <f>Y29*0.45359237</f>
        <v>9.0718474</v>
      </c>
      <c r="Y29" s="92">
        <v>20</v>
      </c>
      <c r="Z29" s="92">
        <f>AA29*0.45359237</f>
        <v>9.52543977</v>
      </c>
      <c r="AA29" s="92">
        <f>Y29+1</f>
        <v>21</v>
      </c>
      <c r="AB29" s="98"/>
      <c r="AC29" s="2" t="s">
        <v>135</v>
      </c>
      <c r="AD29" s="2" t="s">
        <v>136</v>
      </c>
      <c r="AE29" s="9">
        <v>30</v>
      </c>
      <c r="AF29" s="100">
        <f>AG29*0.45359237</f>
        <v>285.7631931</v>
      </c>
      <c r="AG29" s="9">
        <f>AA29*AE29</f>
        <v>630</v>
      </c>
      <c r="AH29" s="9">
        <v>254</v>
      </c>
      <c r="AI29" s="9">
        <v>100</v>
      </c>
    </row>
    <row r="30" customHeight="1" spans="1:35">
      <c r="A30" s="85"/>
      <c r="B30" s="84" t="s">
        <v>365</v>
      </c>
      <c r="C30" s="84" t="s">
        <v>366</v>
      </c>
      <c r="D30" s="9"/>
      <c r="E30" s="9" t="s">
        <v>367</v>
      </c>
      <c r="F30" s="9"/>
      <c r="G30" s="9" t="s">
        <v>368</v>
      </c>
      <c r="H30" s="9"/>
      <c r="I30" s="9" t="s">
        <v>369</v>
      </c>
      <c r="J30" s="9" t="s">
        <v>347</v>
      </c>
      <c r="K30" s="9">
        <v>80</v>
      </c>
      <c r="L30" s="9">
        <v>49</v>
      </c>
      <c r="M30" s="92">
        <v>50</v>
      </c>
      <c r="N30" s="92">
        <v>19.7</v>
      </c>
      <c r="O30" s="9">
        <v>250</v>
      </c>
      <c r="P30" s="9">
        <v>820</v>
      </c>
      <c r="Q30" s="9">
        <v>1</v>
      </c>
      <c r="R30" s="9" t="s">
        <v>360</v>
      </c>
      <c r="S30" s="9"/>
      <c r="T30" s="9" t="s">
        <v>134</v>
      </c>
      <c r="U30" s="9" t="s">
        <v>349</v>
      </c>
      <c r="V30" s="9"/>
      <c r="W30" s="9"/>
      <c r="X30" s="92">
        <f>Y30*0.45359237</f>
        <v>9.97903214</v>
      </c>
      <c r="Y30" s="92">
        <v>22</v>
      </c>
      <c r="Z30" s="92">
        <f>AA30*0.45359237</f>
        <v>10.43262451</v>
      </c>
      <c r="AA30" s="92">
        <f>Y30+1</f>
        <v>23</v>
      </c>
      <c r="AB30" s="98"/>
      <c r="AC30" s="2" t="s">
        <v>135</v>
      </c>
      <c r="AD30" s="2" t="s">
        <v>136</v>
      </c>
      <c r="AE30" s="9">
        <v>60</v>
      </c>
      <c r="AF30" s="100">
        <f>AG30*0.45359237</f>
        <v>625.9574706</v>
      </c>
      <c r="AG30" s="9">
        <f>AA30*AE30</f>
        <v>1380</v>
      </c>
      <c r="AH30" s="9">
        <v>254</v>
      </c>
      <c r="AI30" s="9">
        <v>100</v>
      </c>
    </row>
    <row r="31" customHeight="1" spans="1:35">
      <c r="A31" s="85"/>
      <c r="B31" s="84"/>
      <c r="C31" s="84"/>
      <c r="D31" s="9"/>
      <c r="E31" s="9"/>
      <c r="F31" s="9"/>
      <c r="G31" s="9"/>
      <c r="H31" s="9"/>
      <c r="I31" s="9"/>
      <c r="J31" s="9"/>
      <c r="K31" s="9"/>
      <c r="L31" s="9"/>
      <c r="M31" s="92"/>
      <c r="N31" s="9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6"/>
      <c r="AC31" s="2"/>
      <c r="AD31" s="2"/>
      <c r="AE31" s="9"/>
      <c r="AF31" s="9"/>
      <c r="AG31" s="9"/>
      <c r="AH31" s="9"/>
      <c r="AI31" s="9"/>
    </row>
    <row r="32" customHeight="1" spans="1:35">
      <c r="A32" s="85"/>
      <c r="B32" s="84"/>
      <c r="C32" s="8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</sheetData>
  <mergeCells count="4">
    <mergeCell ref="B2:C2"/>
    <mergeCell ref="D2:AI2"/>
    <mergeCell ref="A9:A24"/>
    <mergeCell ref="A26:A3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6"/>
  <sheetViews>
    <sheetView zoomScale="130" zoomScaleNormal="13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6" max="8" width="8.76388888888889" customWidth="1"/>
    <col min="9" max="9" width="9.07638888888889" customWidth="1"/>
    <col min="10" max="16" width="9.45833333333333" customWidth="1"/>
    <col min="17" max="18" width="8.53472222222222" customWidth="1"/>
  </cols>
  <sheetData>
    <row r="1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3.5" customHeight="1" spans="1:19">
      <c r="A2" s="16"/>
      <c r="B2" s="60" t="s">
        <v>94</v>
      </c>
      <c r="C2" s="60"/>
      <c r="D2" s="61" t="s">
        <v>95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ht="25" customHeight="1" spans="1:19">
      <c r="A3" s="19" t="s">
        <v>73</v>
      </c>
      <c r="B3" s="7" t="s">
        <v>269</v>
      </c>
      <c r="C3" s="7" t="s">
        <v>270</v>
      </c>
      <c r="D3" s="62" t="s">
        <v>149</v>
      </c>
      <c r="E3" s="7" t="s">
        <v>74</v>
      </c>
      <c r="F3" s="65" t="s">
        <v>25</v>
      </c>
      <c r="G3" s="66" t="s">
        <v>370</v>
      </c>
      <c r="H3" s="66" t="s">
        <v>76</v>
      </c>
      <c r="I3" s="67" t="s">
        <v>271</v>
      </c>
      <c r="J3" s="68" t="s">
        <v>98</v>
      </c>
      <c r="K3" s="68" t="s">
        <v>99</v>
      </c>
      <c r="L3" s="68" t="s">
        <v>152</v>
      </c>
      <c r="M3" s="68" t="s">
        <v>153</v>
      </c>
      <c r="N3" s="68" t="s">
        <v>102</v>
      </c>
      <c r="O3" s="68" t="s">
        <v>103</v>
      </c>
      <c r="P3" s="69" t="s">
        <v>104</v>
      </c>
      <c r="Q3" s="69" t="s">
        <v>155</v>
      </c>
      <c r="R3" s="6" t="s">
        <v>106</v>
      </c>
      <c r="S3" s="69" t="s">
        <v>156</v>
      </c>
    </row>
    <row r="4" ht="43" customHeight="1" spans="1:19">
      <c r="A4" s="21" t="s">
        <v>287</v>
      </c>
      <c r="B4" s="9" t="s">
        <v>122</v>
      </c>
      <c r="C4" s="9" t="s">
        <v>79</v>
      </c>
      <c r="D4" s="9" t="s">
        <v>273</v>
      </c>
      <c r="E4" s="9" t="s">
        <v>273</v>
      </c>
      <c r="F4" s="9" t="s">
        <v>273</v>
      </c>
      <c r="G4" s="9" t="s">
        <v>79</v>
      </c>
      <c r="H4" s="9" t="s">
        <v>79</v>
      </c>
      <c r="I4" s="9" t="s">
        <v>78</v>
      </c>
      <c r="J4" s="9" t="s">
        <v>78</v>
      </c>
      <c r="K4" s="9" t="s">
        <v>78</v>
      </c>
      <c r="L4" s="9" t="s">
        <v>78</v>
      </c>
      <c r="M4" s="9" t="s">
        <v>78</v>
      </c>
      <c r="N4" s="9" t="s">
        <v>78</v>
      </c>
      <c r="O4" s="9" t="s">
        <v>78</v>
      </c>
      <c r="P4" s="9" t="s">
        <v>124</v>
      </c>
      <c r="Q4" s="9" t="s">
        <v>124</v>
      </c>
      <c r="R4" s="2" t="s">
        <v>125</v>
      </c>
      <c r="S4" s="2" t="s">
        <v>158</v>
      </c>
    </row>
    <row r="5" ht="34" spans="1:19">
      <c r="A5" s="19" t="s">
        <v>80</v>
      </c>
      <c r="B5" s="9" t="s">
        <v>84</v>
      </c>
      <c r="C5" s="9" t="s">
        <v>84</v>
      </c>
      <c r="D5" s="9" t="s">
        <v>84</v>
      </c>
      <c r="E5" s="9" t="s">
        <v>84</v>
      </c>
      <c r="F5" s="9" t="s">
        <v>84</v>
      </c>
      <c r="G5" s="9" t="s">
        <v>84</v>
      </c>
      <c r="H5" s="9"/>
      <c r="I5" s="9" t="s">
        <v>84</v>
      </c>
      <c r="J5" s="9"/>
      <c r="K5" s="9"/>
      <c r="L5" s="2" t="s">
        <v>84</v>
      </c>
      <c r="M5" s="9"/>
      <c r="N5" s="9"/>
      <c r="O5" s="9"/>
      <c r="P5" s="9"/>
      <c r="Q5" s="9"/>
      <c r="R5" s="9" t="s">
        <v>84</v>
      </c>
      <c r="S5" s="9"/>
    </row>
    <row r="6" ht="18" customHeight="1" spans="1:19">
      <c r="A6" s="19" t="s">
        <v>81</v>
      </c>
      <c r="B6" s="9" t="s">
        <v>84</v>
      </c>
      <c r="C6" s="9"/>
      <c r="D6" s="9" t="s">
        <v>84</v>
      </c>
      <c r="E6" s="9" t="s">
        <v>84</v>
      </c>
      <c r="F6" s="9" t="s">
        <v>84</v>
      </c>
      <c r="G6" s="9" t="s">
        <v>84</v>
      </c>
      <c r="H6" s="9"/>
      <c r="I6" s="9" t="s">
        <v>84</v>
      </c>
      <c r="J6" s="9"/>
      <c r="K6" s="9"/>
      <c r="L6" s="2" t="s">
        <v>84</v>
      </c>
      <c r="M6" s="9"/>
      <c r="N6" s="9"/>
      <c r="O6" s="9"/>
      <c r="P6" s="9"/>
      <c r="Q6" s="9"/>
      <c r="R6" s="9" t="s">
        <v>84</v>
      </c>
      <c r="S6" s="9"/>
    </row>
    <row r="7" ht="34.5" customHeight="1" spans="1:19">
      <c r="A7" s="24" t="s">
        <v>82</v>
      </c>
      <c r="B7" s="9"/>
      <c r="C7" s="9"/>
      <c r="D7" s="9"/>
      <c r="E7" s="9"/>
      <c r="F7" s="9"/>
      <c r="G7" s="9"/>
      <c r="H7" s="9"/>
      <c r="I7" s="9"/>
      <c r="J7" s="9" t="s">
        <v>84</v>
      </c>
      <c r="K7" s="9" t="s">
        <v>84</v>
      </c>
      <c r="L7" s="9"/>
      <c r="M7" s="9"/>
      <c r="N7" s="9" t="s">
        <v>84</v>
      </c>
      <c r="O7" s="9" t="s">
        <v>84</v>
      </c>
      <c r="P7" s="9"/>
      <c r="Q7" s="9"/>
      <c r="R7" s="9"/>
      <c r="S7" s="9"/>
    </row>
    <row r="8" ht="18" customHeight="1" spans="1:19">
      <c r="A8" s="19" t="s">
        <v>83</v>
      </c>
      <c r="B8" s="56" t="s">
        <v>84</v>
      </c>
      <c r="C8" s="56"/>
      <c r="D8" s="56"/>
      <c r="E8" s="9" t="s">
        <v>84</v>
      </c>
      <c r="F8" s="9" t="s">
        <v>84</v>
      </c>
      <c r="G8" s="9" t="s">
        <v>84</v>
      </c>
      <c r="H8" s="9"/>
      <c r="I8" s="9"/>
      <c r="J8" s="9"/>
      <c r="K8" s="9"/>
      <c r="L8" s="2" t="s">
        <v>84</v>
      </c>
      <c r="M8" s="9"/>
      <c r="N8" s="9"/>
      <c r="O8" s="9"/>
      <c r="P8" s="9"/>
      <c r="Q8" s="9"/>
      <c r="R8" s="9"/>
      <c r="S8" s="9"/>
    </row>
    <row r="9" customHeight="1" spans="1:19">
      <c r="A9" s="63" t="s">
        <v>85</v>
      </c>
      <c r="B9" s="11"/>
      <c r="C9" s="11"/>
      <c r="D9" s="12"/>
      <c r="E9" s="5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customHeight="1" spans="1:19">
      <c r="A10" s="64"/>
      <c r="B10" s="13"/>
      <c r="C10" s="13"/>
      <c r="D10" s="12"/>
      <c r="E10" s="5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customHeight="1" spans="1:19">
      <c r="A11" s="64"/>
      <c r="B11" s="13"/>
      <c r="C11" s="13"/>
      <c r="D11" s="12"/>
      <c r="E11" s="5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customHeight="1" spans="1:19">
      <c r="A12" s="64"/>
      <c r="B12" s="13"/>
      <c r="C12" s="13"/>
      <c r="D12" s="12"/>
      <c r="E12" s="5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customHeight="1" spans="1:19">
      <c r="A13" s="64"/>
      <c r="B13" s="13"/>
      <c r="C13" s="13"/>
      <c r="D13" s="12"/>
      <c r="E13" s="5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customHeight="1" spans="1:19">
      <c r="A14" s="64"/>
      <c r="B14" s="13"/>
      <c r="C14" s="13"/>
      <c r="D14" s="12"/>
      <c r="E14" s="5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customHeight="1" spans="1:19">
      <c r="A15" s="64"/>
      <c r="B15" s="13"/>
      <c r="C15" s="13"/>
      <c r="D15" s="12"/>
      <c r="E15" s="5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customHeight="1" spans="1:19">
      <c r="A16" s="64"/>
      <c r="B16" s="13"/>
      <c r="C16" s="13"/>
      <c r="D16" s="12"/>
      <c r="E16" s="5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</sheetData>
  <mergeCells count="3">
    <mergeCell ref="B2:C2"/>
    <mergeCell ref="D2:S2"/>
    <mergeCell ref="A9:A1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6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spans="1:25">
      <c r="A2" s="16"/>
      <c r="B2" s="47" t="s">
        <v>94</v>
      </c>
      <c r="C2" s="48"/>
      <c r="D2" s="48"/>
      <c r="E2" s="5" t="s">
        <v>95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27.75" customHeight="1" spans="1:25">
      <c r="A3" s="19" t="s">
        <v>73</v>
      </c>
      <c r="B3" s="31" t="s">
        <v>2</v>
      </c>
      <c r="C3" s="31" t="s">
        <v>96</v>
      </c>
      <c r="D3" s="31" t="s">
        <v>371</v>
      </c>
      <c r="E3" s="31" t="s">
        <v>149</v>
      </c>
      <c r="F3" s="51" t="s">
        <v>74</v>
      </c>
      <c r="G3" s="52" t="s">
        <v>25</v>
      </c>
      <c r="H3" s="52" t="s">
        <v>97</v>
      </c>
      <c r="I3" s="53" t="s">
        <v>198</v>
      </c>
      <c r="J3" s="14" t="s">
        <v>98</v>
      </c>
      <c r="K3" s="14" t="s">
        <v>99</v>
      </c>
      <c r="L3" s="14" t="s">
        <v>152</v>
      </c>
      <c r="M3" s="14" t="s">
        <v>153</v>
      </c>
      <c r="N3" s="14" t="s">
        <v>102</v>
      </c>
      <c r="O3" s="14" t="s">
        <v>103</v>
      </c>
      <c r="P3" s="54" t="s">
        <v>104</v>
      </c>
      <c r="Q3" s="31" t="s">
        <v>155</v>
      </c>
      <c r="R3" s="6" t="s">
        <v>106</v>
      </c>
      <c r="S3" s="31" t="s">
        <v>107</v>
      </c>
      <c r="T3" s="31" t="s">
        <v>108</v>
      </c>
      <c r="U3" s="58" t="s">
        <v>109</v>
      </c>
      <c r="V3" s="58" t="s">
        <v>112</v>
      </c>
      <c r="W3" s="58" t="s">
        <v>113</v>
      </c>
      <c r="X3" s="31" t="s">
        <v>110</v>
      </c>
      <c r="Y3" s="31" t="s">
        <v>111</v>
      </c>
    </row>
    <row r="4" ht="34" customHeight="1" spans="1:25">
      <c r="A4" s="21" t="s">
        <v>287</v>
      </c>
      <c r="B4" s="9" t="s">
        <v>122</v>
      </c>
      <c r="C4" s="9" t="s">
        <v>120</v>
      </c>
      <c r="D4" s="9" t="s">
        <v>120</v>
      </c>
      <c r="E4" s="9" t="s">
        <v>122</v>
      </c>
      <c r="F4" s="9" t="s">
        <v>157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78</v>
      </c>
      <c r="P4" s="2" t="s">
        <v>124</v>
      </c>
      <c r="Q4" s="2" t="s">
        <v>124</v>
      </c>
      <c r="R4" s="2" t="s">
        <v>125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78</v>
      </c>
      <c r="X4" s="2" t="s">
        <v>78</v>
      </c>
      <c r="Y4" s="2" t="s">
        <v>78</v>
      </c>
    </row>
    <row r="5" ht="31" customHeight="1" spans="1:25">
      <c r="A5" s="19" t="s">
        <v>80</v>
      </c>
      <c r="B5" s="23" t="s">
        <v>84</v>
      </c>
      <c r="C5" s="23" t="s">
        <v>84</v>
      </c>
      <c r="D5" s="23" t="s">
        <v>84</v>
      </c>
      <c r="E5" s="23" t="s">
        <v>84</v>
      </c>
      <c r="F5" s="23" t="s">
        <v>84</v>
      </c>
      <c r="G5" s="23" t="s">
        <v>84</v>
      </c>
      <c r="H5" s="2"/>
      <c r="I5" s="2"/>
      <c r="J5" s="38"/>
      <c r="K5" s="38"/>
      <c r="L5" s="2" t="s">
        <v>84</v>
      </c>
      <c r="M5" s="38"/>
      <c r="N5" s="38"/>
      <c r="O5" s="38"/>
      <c r="P5" s="38"/>
      <c r="Q5" s="42"/>
      <c r="R5" s="23" t="s">
        <v>84</v>
      </c>
      <c r="S5" s="23" t="s">
        <v>84</v>
      </c>
      <c r="T5" s="23" t="s">
        <v>84</v>
      </c>
      <c r="U5" s="23" t="s">
        <v>84</v>
      </c>
      <c r="V5" s="23"/>
      <c r="W5" s="23"/>
      <c r="X5" s="34"/>
      <c r="Y5" s="38"/>
    </row>
    <row r="6" ht="27.75" customHeight="1" spans="1:25">
      <c r="A6" s="19" t="s">
        <v>372</v>
      </c>
      <c r="B6" s="23" t="s">
        <v>84</v>
      </c>
      <c r="C6" s="23" t="s">
        <v>84</v>
      </c>
      <c r="D6" s="23" t="s">
        <v>84</v>
      </c>
      <c r="E6" s="23" t="s">
        <v>84</v>
      </c>
      <c r="F6" s="23" t="s">
        <v>84</v>
      </c>
      <c r="G6" s="23" t="s">
        <v>84</v>
      </c>
      <c r="H6" s="2"/>
      <c r="I6" s="2"/>
      <c r="J6" s="38"/>
      <c r="K6" s="38"/>
      <c r="L6" s="2" t="s">
        <v>84</v>
      </c>
      <c r="M6" s="38"/>
      <c r="N6" s="38"/>
      <c r="O6" s="38"/>
      <c r="P6" s="38"/>
      <c r="Q6" s="42"/>
      <c r="R6" s="23" t="s">
        <v>84</v>
      </c>
      <c r="S6" s="23" t="s">
        <v>84</v>
      </c>
      <c r="T6" s="23" t="s">
        <v>84</v>
      </c>
      <c r="U6" s="23" t="s">
        <v>84</v>
      </c>
      <c r="V6" s="23"/>
      <c r="W6" s="23"/>
      <c r="X6" s="34"/>
      <c r="Y6" s="38"/>
    </row>
    <row r="7" ht="37" customHeight="1" spans="1:25">
      <c r="A7" s="24" t="s">
        <v>82</v>
      </c>
      <c r="B7" s="23"/>
      <c r="C7" s="2"/>
      <c r="D7" s="2"/>
      <c r="E7" s="2"/>
      <c r="F7" s="2"/>
      <c r="G7" s="2"/>
      <c r="H7" s="2"/>
      <c r="I7" s="23" t="s">
        <v>84</v>
      </c>
      <c r="J7" s="23" t="s">
        <v>84</v>
      </c>
      <c r="K7" s="23" t="s">
        <v>84</v>
      </c>
      <c r="L7" s="23"/>
      <c r="M7" s="23"/>
      <c r="N7" s="23" t="s">
        <v>84</v>
      </c>
      <c r="O7" s="23" t="s">
        <v>84</v>
      </c>
      <c r="P7" s="23"/>
      <c r="Q7" s="34"/>
      <c r="R7" s="34"/>
      <c r="S7" s="2"/>
      <c r="T7" s="23"/>
      <c r="U7" s="23"/>
      <c r="V7" s="23" t="s">
        <v>84</v>
      </c>
      <c r="W7" s="23" t="s">
        <v>84</v>
      </c>
      <c r="X7" s="23" t="s">
        <v>84</v>
      </c>
      <c r="Y7" s="23" t="s">
        <v>84</v>
      </c>
    </row>
    <row r="8" ht="27.75" customHeight="1" spans="1:25">
      <c r="A8" s="19" t="s">
        <v>83</v>
      </c>
      <c r="B8" s="23" t="s">
        <v>84</v>
      </c>
      <c r="C8" s="23" t="s">
        <v>84</v>
      </c>
      <c r="D8" s="23" t="s">
        <v>84</v>
      </c>
      <c r="E8" s="23"/>
      <c r="F8" s="23" t="s">
        <v>84</v>
      </c>
      <c r="G8" s="23" t="s">
        <v>84</v>
      </c>
      <c r="H8" s="23" t="s">
        <v>84</v>
      </c>
      <c r="I8" s="25"/>
      <c r="J8" s="44"/>
      <c r="K8" s="44"/>
      <c r="L8" s="2" t="s">
        <v>84</v>
      </c>
      <c r="M8" s="44"/>
      <c r="N8" s="44"/>
      <c r="O8" s="44"/>
      <c r="P8" s="44"/>
      <c r="Q8" s="44"/>
      <c r="R8" s="44"/>
      <c r="S8" s="25"/>
      <c r="T8" s="44"/>
      <c r="U8" s="44"/>
      <c r="V8" s="44"/>
      <c r="W8" s="44"/>
      <c r="X8" s="44"/>
      <c r="Y8" s="44"/>
    </row>
    <row r="9" ht="27.75" customHeight="1" spans="1:25">
      <c r="A9" s="26" t="s">
        <v>127</v>
      </c>
      <c r="B9" s="9" t="s">
        <v>373</v>
      </c>
      <c r="C9" s="9" t="s">
        <v>374</v>
      </c>
      <c r="D9" s="9" t="s">
        <v>375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34" customHeight="1" spans="1:25">
      <c r="A10" s="27"/>
      <c r="B10" s="9" t="s">
        <v>376</v>
      </c>
      <c r="C10" s="9" t="s">
        <v>377</v>
      </c>
      <c r="D10" s="9" t="s">
        <v>378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9" customHeight="1" spans="1:25">
      <c r="A11" s="2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customHeight="1" spans="1:25">
      <c r="A12" s="2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customHeight="1" spans="1:25">
      <c r="A13" s="27"/>
      <c r="B13" s="9"/>
      <c r="C13" s="2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customHeight="1" spans="1:25">
      <c r="A14" s="49"/>
      <c r="B14" s="9"/>
      <c r="C14" s="2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56"/>
      <c r="R14" s="56"/>
      <c r="S14" s="56"/>
      <c r="T14" s="56"/>
      <c r="U14" s="9"/>
      <c r="V14" s="9"/>
      <c r="W14" s="9"/>
      <c r="X14" s="9"/>
      <c r="Y14" s="9"/>
    </row>
    <row r="15" customHeight="1" spans="1:25">
      <c r="A15" s="50" t="s">
        <v>85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55"/>
      <c r="Q15" s="12"/>
      <c r="R15" s="12">
        <v>1</v>
      </c>
      <c r="S15" s="2" t="s">
        <v>135</v>
      </c>
      <c r="T15" s="2" t="s">
        <v>136</v>
      </c>
      <c r="U15" s="59"/>
      <c r="V15" s="29"/>
      <c r="W15" s="29"/>
      <c r="X15" s="29"/>
      <c r="Y15" s="29"/>
    </row>
    <row r="16" customHeight="1" spans="1:25">
      <c r="A16" s="27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55"/>
      <c r="Q16" s="12"/>
      <c r="R16" s="12">
        <v>1</v>
      </c>
      <c r="S16" s="2" t="s">
        <v>135</v>
      </c>
      <c r="T16" s="2" t="s">
        <v>136</v>
      </c>
      <c r="U16" s="59"/>
      <c r="V16" s="29"/>
      <c r="W16" s="29"/>
      <c r="X16" s="29"/>
      <c r="Y16" s="29"/>
    </row>
    <row r="17" customHeight="1" spans="1:25">
      <c r="A17" s="27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55"/>
      <c r="Q17" s="12"/>
      <c r="R17" s="12">
        <v>1</v>
      </c>
      <c r="S17" s="2" t="s">
        <v>135</v>
      </c>
      <c r="T17" s="2" t="s">
        <v>136</v>
      </c>
      <c r="U17" s="59"/>
      <c r="V17" s="29"/>
      <c r="W17" s="29"/>
      <c r="X17" s="29"/>
      <c r="Y17" s="29"/>
    </row>
    <row r="18" customHeight="1" spans="1:25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55"/>
      <c r="Q18" s="12"/>
      <c r="R18" s="12">
        <v>1</v>
      </c>
      <c r="S18" s="2" t="s">
        <v>135</v>
      </c>
      <c r="T18" s="2" t="s">
        <v>136</v>
      </c>
      <c r="U18" s="59"/>
      <c r="V18" s="29"/>
      <c r="W18" s="29"/>
      <c r="X18" s="29"/>
      <c r="Y18" s="29"/>
    </row>
    <row r="19" customHeight="1" spans="1:25">
      <c r="A19" s="27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55"/>
      <c r="Q19" s="12"/>
      <c r="R19" s="12">
        <v>1</v>
      </c>
      <c r="S19" s="2" t="s">
        <v>135</v>
      </c>
      <c r="T19" s="2" t="s">
        <v>136</v>
      </c>
      <c r="U19" s="59"/>
      <c r="V19" s="29"/>
      <c r="W19" s="29"/>
      <c r="X19" s="29"/>
      <c r="Y19" s="29"/>
    </row>
    <row r="20" customHeight="1" spans="1:25">
      <c r="A20" s="2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57"/>
      <c r="R20" s="57"/>
      <c r="S20" s="57"/>
      <c r="T20" s="57"/>
      <c r="U20" s="29"/>
      <c r="V20" s="29"/>
      <c r="W20" s="29"/>
      <c r="X20" s="29"/>
      <c r="Y20" s="29"/>
    </row>
    <row r="21" customHeight="1" spans="1:25">
      <c r="A21" s="27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customHeight="1" spans="1:25">
      <c r="A22" s="27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customHeight="1" spans="1:25">
      <c r="A23" s="27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customHeight="1" spans="1:25">
      <c r="A24" s="2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customHeight="1" spans="1:25">
      <c r="A25" s="27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customHeight="1" spans="1:25">
      <c r="A26" s="27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</sheetData>
  <mergeCells count="4">
    <mergeCell ref="B2:D2"/>
    <mergeCell ref="E2:Y2"/>
    <mergeCell ref="A9:A14"/>
    <mergeCell ref="A15:A2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"/>
  <sheetViews>
    <sheetView zoomScale="130" zoomScaleNormal="13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spans="1:18">
      <c r="A2" s="2"/>
      <c r="B2" s="5" t="s">
        <v>148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27.75" customHeight="1" spans="1:18">
      <c r="A3" s="5" t="s">
        <v>73</v>
      </c>
      <c r="B3" s="8" t="s">
        <v>149</v>
      </c>
      <c r="C3" s="8" t="s">
        <v>2</v>
      </c>
      <c r="D3" s="6" t="s">
        <v>97</v>
      </c>
      <c r="E3" s="6" t="s">
        <v>74</v>
      </c>
      <c r="F3" s="6" t="s">
        <v>379</v>
      </c>
      <c r="G3" s="6" t="s">
        <v>150</v>
      </c>
      <c r="H3" s="6" t="s">
        <v>151</v>
      </c>
      <c r="I3" s="14" t="s">
        <v>98</v>
      </c>
      <c r="J3" s="14" t="s">
        <v>99</v>
      </c>
      <c r="K3" s="14" t="s">
        <v>152</v>
      </c>
      <c r="L3" s="14" t="s">
        <v>153</v>
      </c>
      <c r="M3" s="14" t="s">
        <v>102</v>
      </c>
      <c r="N3" s="14" t="s">
        <v>103</v>
      </c>
      <c r="O3" s="6" t="s">
        <v>104</v>
      </c>
      <c r="P3" s="6" t="s">
        <v>155</v>
      </c>
      <c r="Q3" s="6" t="s">
        <v>106</v>
      </c>
      <c r="R3" s="6" t="s">
        <v>156</v>
      </c>
    </row>
    <row r="4" ht="42" customHeight="1" spans="1:18">
      <c r="A4" s="5" t="s">
        <v>287</v>
      </c>
      <c r="B4" s="2" t="s">
        <v>122</v>
      </c>
      <c r="C4" s="2" t="s">
        <v>122</v>
      </c>
      <c r="D4" s="2" t="s">
        <v>78</v>
      </c>
      <c r="E4" s="2" t="s">
        <v>157</v>
      </c>
      <c r="F4" s="2" t="s">
        <v>78</v>
      </c>
      <c r="G4" s="2" t="s">
        <v>78</v>
      </c>
      <c r="H4" s="2" t="s">
        <v>78</v>
      </c>
      <c r="I4" s="2" t="s">
        <v>79</v>
      </c>
      <c r="J4" s="2" t="s">
        <v>79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124</v>
      </c>
      <c r="P4" s="2" t="s">
        <v>124</v>
      </c>
      <c r="Q4" s="2" t="s">
        <v>125</v>
      </c>
      <c r="R4" s="2" t="s">
        <v>158</v>
      </c>
    </row>
    <row r="5" customHeight="1" spans="1:18">
      <c r="A5" s="5" t="s">
        <v>80</v>
      </c>
      <c r="B5" s="2" t="s">
        <v>84</v>
      </c>
      <c r="C5" s="2" t="s">
        <v>84</v>
      </c>
      <c r="D5" s="15"/>
      <c r="E5" s="2" t="s">
        <v>84</v>
      </c>
      <c r="F5" s="2" t="s">
        <v>84</v>
      </c>
      <c r="G5" s="2" t="s">
        <v>84</v>
      </c>
      <c r="H5" s="2" t="s">
        <v>84</v>
      </c>
      <c r="I5" s="2"/>
      <c r="J5" s="2"/>
      <c r="K5" s="2" t="s">
        <v>84</v>
      </c>
      <c r="L5" s="2"/>
      <c r="M5" s="2"/>
      <c r="N5" s="2"/>
      <c r="O5" s="2"/>
      <c r="P5" s="2"/>
      <c r="Q5" s="2" t="s">
        <v>84</v>
      </c>
      <c r="R5" s="15"/>
    </row>
    <row r="6" customHeight="1" spans="1:18">
      <c r="A6" s="46" t="s">
        <v>126</v>
      </c>
      <c r="B6" s="2" t="s">
        <v>84</v>
      </c>
      <c r="C6" s="2" t="s">
        <v>84</v>
      </c>
      <c r="D6" s="15"/>
      <c r="E6" s="2" t="s">
        <v>84</v>
      </c>
      <c r="F6" s="2" t="s">
        <v>84</v>
      </c>
      <c r="G6" s="2" t="s">
        <v>84</v>
      </c>
      <c r="H6" s="2" t="s">
        <v>84</v>
      </c>
      <c r="I6" s="2"/>
      <c r="J6" s="2"/>
      <c r="K6" s="2"/>
      <c r="L6" s="2"/>
      <c r="M6" s="2"/>
      <c r="N6" s="2"/>
      <c r="O6" s="2"/>
      <c r="P6" s="2"/>
      <c r="Q6" s="2"/>
      <c r="R6" s="15"/>
    </row>
    <row r="7" ht="21" customHeight="1" spans="1:18">
      <c r="A7" s="5" t="s">
        <v>81</v>
      </c>
      <c r="B7" s="2" t="s">
        <v>84</v>
      </c>
      <c r="C7" s="2" t="s">
        <v>84</v>
      </c>
      <c r="D7" s="15"/>
      <c r="E7" s="2" t="s">
        <v>84</v>
      </c>
      <c r="F7" s="2" t="s">
        <v>84</v>
      </c>
      <c r="G7" s="2" t="s">
        <v>84</v>
      </c>
      <c r="H7" s="2" t="s">
        <v>84</v>
      </c>
      <c r="I7" s="2"/>
      <c r="J7" s="2"/>
      <c r="K7" s="2" t="s">
        <v>84</v>
      </c>
      <c r="L7" s="2"/>
      <c r="M7" s="2"/>
      <c r="N7" s="2"/>
      <c r="O7" s="2"/>
      <c r="P7" s="2"/>
      <c r="Q7" s="2" t="s">
        <v>84</v>
      </c>
      <c r="R7" s="15"/>
    </row>
    <row r="8" ht="40" customHeight="1" spans="1:18">
      <c r="A8" s="10" t="s">
        <v>82</v>
      </c>
      <c r="B8" s="2"/>
      <c r="C8" s="2"/>
      <c r="D8" s="15"/>
      <c r="E8" s="2"/>
      <c r="F8" s="2"/>
      <c r="G8" s="2"/>
      <c r="H8" s="2"/>
      <c r="I8" s="2" t="s">
        <v>84</v>
      </c>
      <c r="J8" s="2" t="s">
        <v>84</v>
      </c>
      <c r="K8" s="2"/>
      <c r="L8" s="2"/>
      <c r="M8" s="2" t="s">
        <v>84</v>
      </c>
      <c r="N8" s="2" t="s">
        <v>84</v>
      </c>
      <c r="O8" s="2"/>
      <c r="P8" s="2"/>
      <c r="Q8" s="2"/>
      <c r="R8" s="15"/>
    </row>
    <row r="9" customHeight="1" spans="1:18">
      <c r="A9" s="5" t="s">
        <v>83</v>
      </c>
      <c r="B9" s="2"/>
      <c r="C9" s="2" t="s">
        <v>84</v>
      </c>
      <c r="D9" s="2" t="s">
        <v>84</v>
      </c>
      <c r="E9" s="2" t="s">
        <v>84</v>
      </c>
      <c r="F9" s="2" t="s">
        <v>84</v>
      </c>
      <c r="G9" s="2" t="s">
        <v>84</v>
      </c>
      <c r="H9" s="2" t="s">
        <v>84</v>
      </c>
      <c r="I9" s="2"/>
      <c r="J9" s="2"/>
      <c r="K9" s="2" t="s">
        <v>84</v>
      </c>
      <c r="L9" s="2"/>
      <c r="M9" s="2"/>
      <c r="N9" s="2"/>
      <c r="O9" s="2"/>
      <c r="P9" s="2"/>
      <c r="Q9" s="2"/>
      <c r="R9" s="15"/>
    </row>
    <row r="10" customHeight="1" spans="1:18">
      <c r="A10" s="11" t="s">
        <v>85</v>
      </c>
      <c r="B10" s="12"/>
      <c r="C10" s="12"/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5"/>
    </row>
    <row r="11" customHeight="1" spans="1:18">
      <c r="A11" s="11"/>
      <c r="B11" s="12"/>
      <c r="C11" s="12"/>
      <c r="D11" s="1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5"/>
    </row>
    <row r="12" customHeight="1" spans="1:18">
      <c r="A12" s="11"/>
      <c r="B12" s="12"/>
      <c r="C12" s="12"/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5"/>
    </row>
    <row r="13" customHeight="1" spans="1:18">
      <c r="A13" s="11"/>
      <c r="B13" s="12"/>
      <c r="C13" s="12"/>
      <c r="D13" s="1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5"/>
    </row>
    <row r="14" customHeight="1" spans="1:18">
      <c r="A14" s="11"/>
      <c r="B14" s="12"/>
      <c r="C14" s="12"/>
      <c r="D14" s="1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5"/>
    </row>
    <row r="15" customHeight="1" spans="1:18">
      <c r="A15" s="11"/>
      <c r="B15" s="12"/>
      <c r="C15" s="12"/>
      <c r="D15" s="1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5"/>
    </row>
    <row r="16" customHeight="1" spans="1:18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5"/>
    </row>
    <row r="17" customHeight="1" spans="1:18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5"/>
    </row>
    <row r="18" customHeight="1" spans="1: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5"/>
    </row>
    <row r="19" customHeight="1" spans="1:18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5"/>
    </row>
    <row r="20" customHeight="1" spans="1:18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5"/>
    </row>
  </sheetData>
  <mergeCells count="2">
    <mergeCell ref="B2:R2"/>
    <mergeCell ref="A10:A2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2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15" max="16" width="13.4583333333333" customWidth="1"/>
  </cols>
  <sheetData>
    <row r="1" customHeight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Height="1" spans="1:35">
      <c r="A2" s="16"/>
      <c r="B2" s="17" t="s">
        <v>94</v>
      </c>
      <c r="C2" s="18"/>
      <c r="D2" s="18"/>
      <c r="E2" s="18"/>
      <c r="F2" s="18"/>
      <c r="G2" s="18"/>
      <c r="H2" s="30" t="s">
        <v>148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ht="49" spans="1:35">
      <c r="A3" s="19" t="s">
        <v>73</v>
      </c>
      <c r="B3" s="20" t="s">
        <v>333</v>
      </c>
      <c r="C3" s="20" t="s">
        <v>380</v>
      </c>
      <c r="D3" s="20" t="s">
        <v>381</v>
      </c>
      <c r="E3" s="20" t="s">
        <v>382</v>
      </c>
      <c r="F3" s="20" t="s">
        <v>335</v>
      </c>
      <c r="G3" s="20" t="s">
        <v>336</v>
      </c>
      <c r="H3" s="31" t="s">
        <v>383</v>
      </c>
      <c r="I3" s="31" t="s">
        <v>384</v>
      </c>
      <c r="J3" s="31" t="s">
        <v>97</v>
      </c>
      <c r="K3" s="20" t="s">
        <v>385</v>
      </c>
      <c r="L3" s="32" t="s">
        <v>74</v>
      </c>
      <c r="M3" s="6" t="s">
        <v>2</v>
      </c>
      <c r="N3" s="6" t="s">
        <v>193</v>
      </c>
      <c r="O3" s="6" t="s">
        <v>75</v>
      </c>
      <c r="P3" s="6" t="s">
        <v>76</v>
      </c>
      <c r="Q3" s="6" t="s">
        <v>386</v>
      </c>
      <c r="R3" s="6" t="s">
        <v>196</v>
      </c>
      <c r="S3" s="6" t="s">
        <v>197</v>
      </c>
      <c r="T3" s="6" t="s">
        <v>106</v>
      </c>
      <c r="U3" s="6" t="s">
        <v>98</v>
      </c>
      <c r="V3" s="6" t="s">
        <v>99</v>
      </c>
      <c r="W3" s="6" t="s">
        <v>152</v>
      </c>
      <c r="X3" s="6" t="s">
        <v>153</v>
      </c>
      <c r="Y3" s="6" t="s">
        <v>102</v>
      </c>
      <c r="Z3" s="6" t="s">
        <v>103</v>
      </c>
      <c r="AA3" s="6" t="s">
        <v>104</v>
      </c>
      <c r="AB3" s="6" t="s">
        <v>155</v>
      </c>
      <c r="AC3" s="6" t="s">
        <v>107</v>
      </c>
      <c r="AD3" s="39" t="s">
        <v>108</v>
      </c>
      <c r="AE3" s="6" t="s">
        <v>109</v>
      </c>
      <c r="AF3" s="40" t="s">
        <v>112</v>
      </c>
      <c r="AG3" s="45" t="s">
        <v>113</v>
      </c>
      <c r="AH3" s="45" t="s">
        <v>110</v>
      </c>
      <c r="AI3" s="45" t="s">
        <v>111</v>
      </c>
    </row>
    <row r="4" ht="50" customHeight="1" spans="1:35">
      <c r="A4" s="21" t="s">
        <v>287</v>
      </c>
      <c r="B4" s="2" t="s">
        <v>122</v>
      </c>
      <c r="C4" s="22" t="s">
        <v>225</v>
      </c>
      <c r="D4" s="22" t="s">
        <v>225</v>
      </c>
      <c r="E4" s="22" t="s">
        <v>225</v>
      </c>
      <c r="F4" s="22" t="s">
        <v>225</v>
      </c>
      <c r="G4" s="22" t="s">
        <v>225</v>
      </c>
      <c r="H4" s="2" t="s">
        <v>78</v>
      </c>
      <c r="I4" s="2" t="s">
        <v>78</v>
      </c>
      <c r="J4" s="2"/>
      <c r="K4" s="2" t="s">
        <v>387</v>
      </c>
      <c r="L4" s="33" t="s">
        <v>387</v>
      </c>
      <c r="M4" s="2" t="s">
        <v>78</v>
      </c>
      <c r="N4" s="2" t="s">
        <v>78</v>
      </c>
      <c r="O4" s="35" t="s">
        <v>78</v>
      </c>
      <c r="P4" s="35" t="s">
        <v>78</v>
      </c>
      <c r="Q4" s="2" t="s">
        <v>387</v>
      </c>
      <c r="R4" s="2" t="s">
        <v>78</v>
      </c>
      <c r="S4" s="2" t="s">
        <v>78</v>
      </c>
      <c r="T4" s="2" t="s">
        <v>125</v>
      </c>
      <c r="U4" s="2" t="s">
        <v>79</v>
      </c>
      <c r="V4" s="2" t="s">
        <v>79</v>
      </c>
      <c r="W4" s="2" t="s">
        <v>79</v>
      </c>
      <c r="X4" s="2" t="s">
        <v>79</v>
      </c>
      <c r="Y4" s="2" t="s">
        <v>79</v>
      </c>
      <c r="Z4" s="2" t="s">
        <v>79</v>
      </c>
      <c r="AA4" s="2" t="s">
        <v>124</v>
      </c>
      <c r="AB4" s="2" t="s">
        <v>124</v>
      </c>
      <c r="AC4" s="2" t="s">
        <v>79</v>
      </c>
      <c r="AD4" s="34" t="s">
        <v>79</v>
      </c>
      <c r="AE4" s="2" t="s">
        <v>79</v>
      </c>
      <c r="AF4" s="34" t="s">
        <v>79</v>
      </c>
      <c r="AG4" s="2" t="s">
        <v>79</v>
      </c>
      <c r="AH4" s="2" t="s">
        <v>79</v>
      </c>
      <c r="AI4" s="2" t="s">
        <v>388</v>
      </c>
    </row>
    <row r="5" ht="31" customHeight="1" spans="1:35">
      <c r="A5" s="19" t="s">
        <v>80</v>
      </c>
      <c r="B5" s="23" t="s">
        <v>84</v>
      </c>
      <c r="C5" s="2"/>
      <c r="D5" s="2"/>
      <c r="E5" s="2"/>
      <c r="F5" s="2"/>
      <c r="G5" s="2"/>
      <c r="H5" s="2"/>
      <c r="I5" s="2"/>
      <c r="J5" s="34"/>
      <c r="K5" s="23" t="s">
        <v>84</v>
      </c>
      <c r="L5" s="23" t="s">
        <v>84</v>
      </c>
      <c r="M5" s="23" t="s">
        <v>84</v>
      </c>
      <c r="N5" s="23" t="s">
        <v>84</v>
      </c>
      <c r="O5" s="23" t="s">
        <v>84</v>
      </c>
      <c r="P5" s="23" t="s">
        <v>84</v>
      </c>
      <c r="R5" s="36"/>
      <c r="S5" s="36"/>
      <c r="T5" s="2" t="s">
        <v>84</v>
      </c>
      <c r="U5" s="38"/>
      <c r="V5" s="38"/>
      <c r="W5" s="2" t="s">
        <v>84</v>
      </c>
      <c r="X5" s="38"/>
      <c r="Y5" s="38"/>
      <c r="Z5" s="38"/>
      <c r="AA5" s="38"/>
      <c r="AB5" s="38"/>
      <c r="AC5" s="38"/>
      <c r="AD5" s="41"/>
      <c r="AE5" s="36"/>
      <c r="AF5" s="38"/>
      <c r="AG5" s="38"/>
      <c r="AH5" s="38"/>
      <c r="AI5" s="38"/>
    </row>
    <row r="6" ht="27.75" customHeight="1" spans="1:35">
      <c r="A6" s="19" t="s">
        <v>81</v>
      </c>
      <c r="B6" s="23" t="s">
        <v>84</v>
      </c>
      <c r="C6" s="2"/>
      <c r="D6" s="2"/>
      <c r="E6" s="2"/>
      <c r="F6" s="2"/>
      <c r="G6" s="2"/>
      <c r="H6" s="2"/>
      <c r="I6" s="2"/>
      <c r="J6" s="34"/>
      <c r="K6" s="23" t="s">
        <v>84</v>
      </c>
      <c r="L6" s="23" t="s">
        <v>84</v>
      </c>
      <c r="M6" s="23" t="s">
        <v>84</v>
      </c>
      <c r="N6" s="23" t="s">
        <v>84</v>
      </c>
      <c r="O6" s="23" t="s">
        <v>84</v>
      </c>
      <c r="P6" s="23" t="s">
        <v>84</v>
      </c>
      <c r="Q6" s="2"/>
      <c r="R6" s="2"/>
      <c r="S6" s="15"/>
      <c r="T6" s="2" t="s">
        <v>84</v>
      </c>
      <c r="U6" s="38"/>
      <c r="V6" s="38"/>
      <c r="W6" s="2" t="s">
        <v>84</v>
      </c>
      <c r="X6" s="38"/>
      <c r="Y6" s="38"/>
      <c r="Z6" s="38"/>
      <c r="AA6" s="38"/>
      <c r="AB6" s="38"/>
      <c r="AC6" s="38"/>
      <c r="AD6" s="42"/>
      <c r="AE6" s="2"/>
      <c r="AF6" s="38"/>
      <c r="AG6" s="38"/>
      <c r="AH6" s="38"/>
      <c r="AI6" s="38"/>
    </row>
    <row r="7" ht="41" customHeight="1" spans="1:35">
      <c r="A7" s="24" t="s">
        <v>82</v>
      </c>
      <c r="B7" s="23"/>
      <c r="C7" s="23" t="s">
        <v>84</v>
      </c>
      <c r="D7" s="23" t="s">
        <v>84</v>
      </c>
      <c r="E7" s="23" t="s">
        <v>84</v>
      </c>
      <c r="F7" s="23" t="s">
        <v>84</v>
      </c>
      <c r="G7" s="23" t="s">
        <v>84</v>
      </c>
      <c r="H7" s="23" t="s">
        <v>84</v>
      </c>
      <c r="I7" s="23" t="s">
        <v>84</v>
      </c>
      <c r="J7" s="34"/>
      <c r="K7" s="2"/>
      <c r="L7" s="2"/>
      <c r="M7" s="2"/>
      <c r="N7" s="2"/>
      <c r="O7" s="2"/>
      <c r="P7" s="34"/>
      <c r="Q7" s="23" t="s">
        <v>84</v>
      </c>
      <c r="R7" s="23" t="s">
        <v>84</v>
      </c>
      <c r="S7" s="23" t="s">
        <v>84</v>
      </c>
      <c r="T7" s="2"/>
      <c r="U7" s="2" t="s">
        <v>84</v>
      </c>
      <c r="V7" s="2" t="s">
        <v>84</v>
      </c>
      <c r="W7" s="2"/>
      <c r="X7" s="2"/>
      <c r="Y7" s="2" t="s">
        <v>84</v>
      </c>
      <c r="Z7" s="2" t="s">
        <v>84</v>
      </c>
      <c r="AA7" s="2"/>
      <c r="AB7" s="2"/>
      <c r="AC7" s="2" t="s">
        <v>84</v>
      </c>
      <c r="AD7" s="34" t="s">
        <v>84</v>
      </c>
      <c r="AE7" s="23" t="s">
        <v>84</v>
      </c>
      <c r="AF7" s="23" t="s">
        <v>84</v>
      </c>
      <c r="AG7" s="23" t="s">
        <v>84</v>
      </c>
      <c r="AH7" s="23" t="s">
        <v>84</v>
      </c>
      <c r="AI7" s="23" t="s">
        <v>84</v>
      </c>
    </row>
    <row r="8" ht="27.75" customHeight="1" spans="1:35">
      <c r="A8" s="19" t="s">
        <v>83</v>
      </c>
      <c r="B8" s="23" t="s">
        <v>84</v>
      </c>
      <c r="C8" s="25"/>
      <c r="D8" s="25"/>
      <c r="E8" s="25"/>
      <c r="F8" s="25"/>
      <c r="G8" s="25"/>
      <c r="H8" s="25"/>
      <c r="I8" s="25"/>
      <c r="J8" s="23" t="s">
        <v>84</v>
      </c>
      <c r="K8" s="23"/>
      <c r="L8" s="23" t="s">
        <v>84</v>
      </c>
      <c r="M8" s="23" t="s">
        <v>84</v>
      </c>
      <c r="N8" s="23" t="s">
        <v>84</v>
      </c>
      <c r="O8" s="23" t="s">
        <v>84</v>
      </c>
      <c r="P8" s="23" t="s">
        <v>84</v>
      </c>
      <c r="Q8" s="25"/>
      <c r="R8" s="25"/>
      <c r="S8" s="2"/>
      <c r="T8" s="2"/>
      <c r="U8" s="2"/>
      <c r="V8" s="2"/>
      <c r="W8" s="2" t="s">
        <v>84</v>
      </c>
      <c r="X8" s="2"/>
      <c r="Y8" s="2"/>
      <c r="Z8" s="2"/>
      <c r="AA8" s="2"/>
      <c r="AB8" s="2"/>
      <c r="AC8" s="38"/>
      <c r="AD8" s="43"/>
      <c r="AE8" s="25"/>
      <c r="AF8" s="44"/>
      <c r="AG8" s="44"/>
      <c r="AH8" s="44"/>
      <c r="AI8" s="44"/>
    </row>
    <row r="9" customHeight="1" spans="1:35">
      <c r="A9" s="26" t="s">
        <v>127</v>
      </c>
      <c r="B9" s="9" t="s">
        <v>376</v>
      </c>
      <c r="C9" s="9">
        <v>48</v>
      </c>
      <c r="D9" s="9"/>
      <c r="E9" s="9">
        <v>0</v>
      </c>
      <c r="F9" s="9">
        <v>90</v>
      </c>
      <c r="G9" s="9"/>
      <c r="H9" s="9" t="s">
        <v>389</v>
      </c>
      <c r="I9" s="9" t="s">
        <v>390</v>
      </c>
      <c r="J9" s="9"/>
      <c r="K9" s="29"/>
      <c r="L9" s="9"/>
      <c r="M9" s="9"/>
      <c r="N9" s="9"/>
      <c r="O9" s="9"/>
      <c r="P9" s="9"/>
      <c r="Q9" s="9"/>
      <c r="R9" s="9"/>
      <c r="S9" s="9"/>
      <c r="T9" s="37"/>
      <c r="U9" s="37"/>
      <c r="V9" s="37"/>
      <c r="W9" s="37"/>
      <c r="X9" s="37"/>
      <c r="Y9" s="37"/>
      <c r="Z9" s="37"/>
      <c r="AA9" s="37"/>
      <c r="AB9" s="37"/>
      <c r="AC9" s="37"/>
      <c r="AD9" s="9"/>
      <c r="AE9" s="9"/>
      <c r="AF9" s="9"/>
      <c r="AG9" s="9"/>
      <c r="AH9" s="9"/>
      <c r="AI9" s="9"/>
    </row>
    <row r="10" customHeight="1" spans="1:35">
      <c r="A10" s="27"/>
      <c r="B10" s="9" t="s">
        <v>373</v>
      </c>
      <c r="C10" s="9">
        <v>60</v>
      </c>
      <c r="D10" s="9"/>
      <c r="E10" s="9">
        <v>3</v>
      </c>
      <c r="F10" s="9">
        <v>127</v>
      </c>
      <c r="G10" s="9"/>
      <c r="H10" s="9"/>
      <c r="I10" s="9"/>
      <c r="J10" s="9"/>
      <c r="K10" s="9"/>
      <c r="L10" s="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29"/>
      <c r="AD10" s="29"/>
      <c r="AE10" s="9"/>
      <c r="AF10" s="29"/>
      <c r="AG10" s="29"/>
      <c r="AH10" s="29"/>
      <c r="AI10" s="29"/>
    </row>
    <row r="11" customHeight="1" spans="1:35">
      <c r="A11" s="27"/>
      <c r="B11" s="9"/>
      <c r="C11" s="9">
        <v>70</v>
      </c>
      <c r="D11" s="9"/>
      <c r="E11" s="9">
        <v>4</v>
      </c>
      <c r="F11" s="9"/>
      <c r="G11" s="9"/>
      <c r="H11" s="9"/>
      <c r="I11" s="9"/>
      <c r="J11" s="9"/>
      <c r="K11" s="2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29"/>
      <c r="AD11" s="29"/>
      <c r="AE11" s="9"/>
      <c r="AF11" s="29"/>
      <c r="AG11" s="29"/>
      <c r="AH11" s="29"/>
      <c r="AI11" s="29"/>
    </row>
    <row r="12" customHeight="1" spans="1:35">
      <c r="A12" s="27"/>
      <c r="B12" s="9"/>
      <c r="C12" s="9"/>
      <c r="D12" s="9"/>
      <c r="E12" s="9">
        <v>5</v>
      </c>
      <c r="F12" s="9"/>
      <c r="G12" s="9"/>
      <c r="H12" s="9"/>
      <c r="I12" s="9"/>
      <c r="J12" s="9"/>
      <c r="K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29"/>
      <c r="AG12" s="29"/>
      <c r="AH12" s="29"/>
      <c r="AI12" s="29"/>
    </row>
    <row r="13" customHeight="1" spans="1:35">
      <c r="A13" s="2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customHeight="1" spans="1:35">
      <c r="A14" s="2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customHeight="1" spans="1:35">
      <c r="A15" s="28" t="s">
        <v>85</v>
      </c>
      <c r="B15" s="29"/>
      <c r="C15" s="29"/>
      <c r="D15" s="29"/>
      <c r="E15" s="29"/>
      <c r="F15" s="29"/>
      <c r="G15" s="29"/>
      <c r="H15" s="29"/>
      <c r="I15" s="29"/>
      <c r="J15" s="29"/>
      <c r="K15" s="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customHeight="1" spans="1:35">
      <c r="A16" s="27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</row>
    <row r="17" customHeight="1" spans="1:35">
      <c r="A17" s="27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customHeight="1" spans="1:35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customHeight="1" spans="1:35">
      <c r="A19" s="27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customHeight="1" spans="1:35">
      <c r="A20" s="2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 customHeight="1" spans="1:35">
      <c r="A21" s="27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 customHeight="1" spans="1:35">
      <c r="A22" s="27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 customHeight="1" spans="1:35">
      <c r="A23" s="27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 customHeight="1" spans="1:35">
      <c r="A24" s="2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customHeight="1" spans="1:35">
      <c r="A25" s="27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</sheetData>
  <mergeCells count="4">
    <mergeCell ref="B2:G2"/>
    <mergeCell ref="H2:AI2"/>
    <mergeCell ref="A9:A13"/>
    <mergeCell ref="A15:A2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3" max="3" width="16" customWidth="1"/>
  </cols>
  <sheetData>
    <row r="1" customHeight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7.75" customHeight="1" spans="1:19">
      <c r="A2" s="2"/>
      <c r="B2" s="3" t="s">
        <v>94</v>
      </c>
      <c r="C2" s="4"/>
      <c r="D2" s="5" t="s">
        <v>95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8" customHeight="1" spans="1:19">
      <c r="A3" s="5" t="s">
        <v>73</v>
      </c>
      <c r="B3" s="6" t="s">
        <v>269</v>
      </c>
      <c r="C3" s="7" t="s">
        <v>270</v>
      </c>
      <c r="D3" s="8" t="s">
        <v>149</v>
      </c>
      <c r="E3" s="6" t="s">
        <v>74</v>
      </c>
      <c r="F3" s="6" t="s">
        <v>25</v>
      </c>
      <c r="G3" s="6" t="s">
        <v>370</v>
      </c>
      <c r="H3" s="6" t="s">
        <v>391</v>
      </c>
      <c r="I3" s="14" t="s">
        <v>271</v>
      </c>
      <c r="J3" s="14" t="s">
        <v>98</v>
      </c>
      <c r="K3" s="14" t="s">
        <v>99</v>
      </c>
      <c r="L3" s="14" t="s">
        <v>152</v>
      </c>
      <c r="M3" s="14" t="s">
        <v>153</v>
      </c>
      <c r="N3" s="14" t="s">
        <v>102</v>
      </c>
      <c r="O3" s="14" t="s">
        <v>103</v>
      </c>
      <c r="P3" s="6" t="s">
        <v>104</v>
      </c>
      <c r="Q3" s="6" t="s">
        <v>155</v>
      </c>
      <c r="R3" s="6" t="s">
        <v>106</v>
      </c>
      <c r="S3" s="6" t="s">
        <v>156</v>
      </c>
    </row>
    <row r="4" ht="41" customHeight="1" spans="1:19">
      <c r="A4" s="5" t="s">
        <v>287</v>
      </c>
      <c r="B4" s="2" t="s">
        <v>122</v>
      </c>
      <c r="C4" s="9" t="s">
        <v>79</v>
      </c>
      <c r="D4" s="2" t="s">
        <v>273</v>
      </c>
      <c r="E4" s="2" t="s">
        <v>273</v>
      </c>
      <c r="F4" s="2" t="s">
        <v>273</v>
      </c>
      <c r="G4" s="2" t="s">
        <v>79</v>
      </c>
      <c r="H4" s="2" t="s">
        <v>79</v>
      </c>
      <c r="I4" s="2" t="s">
        <v>78</v>
      </c>
      <c r="J4" s="2" t="s">
        <v>78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79</v>
      </c>
      <c r="P4" s="2" t="s">
        <v>124</v>
      </c>
      <c r="Q4" s="2" t="s">
        <v>124</v>
      </c>
      <c r="R4" s="2" t="s">
        <v>125</v>
      </c>
      <c r="S4" s="2" t="s">
        <v>158</v>
      </c>
    </row>
    <row r="5" ht="33" customHeight="1" spans="1:19">
      <c r="A5" s="5" t="s">
        <v>80</v>
      </c>
      <c r="B5" s="2" t="s">
        <v>84</v>
      </c>
      <c r="C5" s="9" t="s">
        <v>84</v>
      </c>
      <c r="D5" s="2" t="s">
        <v>84</v>
      </c>
      <c r="E5" s="2" t="s">
        <v>84</v>
      </c>
      <c r="F5" s="2" t="s">
        <v>84</v>
      </c>
      <c r="G5" s="2" t="s">
        <v>84</v>
      </c>
      <c r="H5" s="2"/>
      <c r="I5" s="2" t="s">
        <v>84</v>
      </c>
      <c r="J5" s="2"/>
      <c r="K5" s="2"/>
      <c r="L5" s="2" t="s">
        <v>84</v>
      </c>
      <c r="M5" s="2"/>
      <c r="N5" s="2"/>
      <c r="O5" s="2"/>
      <c r="P5" s="2"/>
      <c r="Q5" s="2"/>
      <c r="R5" s="2" t="s">
        <v>84</v>
      </c>
      <c r="S5" s="15"/>
    </row>
    <row r="6" ht="21" customHeight="1" spans="1:19">
      <c r="A6" s="5" t="s">
        <v>81</v>
      </c>
      <c r="B6" s="2" t="s">
        <v>84</v>
      </c>
      <c r="C6" s="2"/>
      <c r="D6" s="2" t="s">
        <v>84</v>
      </c>
      <c r="E6" s="2" t="s">
        <v>84</v>
      </c>
      <c r="F6" s="2" t="s">
        <v>84</v>
      </c>
      <c r="G6" s="2" t="s">
        <v>84</v>
      </c>
      <c r="H6" s="2"/>
      <c r="I6" s="2" t="s">
        <v>84</v>
      </c>
      <c r="J6" s="2"/>
      <c r="K6" s="2"/>
      <c r="L6" s="2" t="s">
        <v>84</v>
      </c>
      <c r="M6" s="2"/>
      <c r="N6" s="2"/>
      <c r="O6" s="2"/>
      <c r="P6" s="2"/>
      <c r="Q6" s="2"/>
      <c r="R6" s="2" t="s">
        <v>84</v>
      </c>
      <c r="S6" s="15"/>
    </row>
    <row r="7" ht="43" customHeight="1" spans="1:19">
      <c r="A7" s="10" t="s">
        <v>82</v>
      </c>
      <c r="B7" s="2"/>
      <c r="C7" s="2"/>
      <c r="D7" s="2"/>
      <c r="E7" s="2"/>
      <c r="F7" s="2"/>
      <c r="G7" s="2"/>
      <c r="H7" s="2"/>
      <c r="I7" s="2"/>
      <c r="J7" s="2" t="s">
        <v>84</v>
      </c>
      <c r="K7" s="2" t="s">
        <v>84</v>
      </c>
      <c r="L7" s="2"/>
      <c r="M7" s="2"/>
      <c r="N7" s="2" t="s">
        <v>84</v>
      </c>
      <c r="O7" s="2" t="s">
        <v>84</v>
      </c>
      <c r="P7" s="2"/>
      <c r="Q7" s="2"/>
      <c r="R7" s="2"/>
      <c r="S7" s="15"/>
    </row>
    <row r="8" ht="22" customHeight="1" spans="1:19">
      <c r="A8" s="5" t="s">
        <v>83</v>
      </c>
      <c r="B8" s="2" t="s">
        <v>84</v>
      </c>
      <c r="C8" s="2"/>
      <c r="D8" s="2"/>
      <c r="E8" s="2" t="s">
        <v>84</v>
      </c>
      <c r="F8" s="2" t="s">
        <v>84</v>
      </c>
      <c r="G8" s="2" t="s">
        <v>84</v>
      </c>
      <c r="H8" s="2"/>
      <c r="I8" s="2"/>
      <c r="J8" s="2"/>
      <c r="K8" s="2"/>
      <c r="L8" s="2" t="s">
        <v>84</v>
      </c>
      <c r="M8" s="2"/>
      <c r="N8" s="2"/>
      <c r="O8" s="2"/>
      <c r="P8" s="2"/>
      <c r="Q8" s="2"/>
      <c r="R8" s="2"/>
      <c r="S8" s="15"/>
    </row>
    <row r="9" customHeight="1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5"/>
    </row>
    <row r="10" customHeight="1" spans="1:19">
      <c r="A10" s="11" t="s">
        <v>85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5"/>
    </row>
    <row r="11" customHeight="1" spans="1:19">
      <c r="A11" s="13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5"/>
    </row>
    <row r="12" customHeight="1" spans="1:19">
      <c r="A12" s="13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5"/>
    </row>
    <row r="13" customHeight="1" spans="1:19">
      <c r="A13" s="13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5"/>
    </row>
    <row r="14" customHeight="1" spans="1:19">
      <c r="A14" s="13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5"/>
    </row>
    <row r="15" customHeight="1" spans="1:19">
      <c r="A15" s="13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5"/>
    </row>
    <row r="16" customHeight="1" spans="1:19">
      <c r="A16" s="13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5"/>
    </row>
    <row r="17" customHeight="1" spans="1:19">
      <c r="A17" s="13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5"/>
    </row>
    <row r="18" customHeight="1" spans="1:19">
      <c r="A18" s="13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5"/>
    </row>
    <row r="19" customHeight="1" spans="1:19">
      <c r="A19" s="13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5"/>
    </row>
  </sheetData>
  <mergeCells count="3">
    <mergeCell ref="B2:C2"/>
    <mergeCell ref="D2:S2"/>
    <mergeCell ref="A10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型号表</vt:lpstr>
      <vt:lpstr>0 附件</vt:lpstr>
      <vt:lpstr>1.1 气垫机</vt:lpstr>
      <vt:lpstr>1.1 气垫机外设配件</vt:lpstr>
      <vt:lpstr>1.2 充气膜</vt:lpstr>
      <vt:lpstr>1.3 气垫机备件</vt:lpstr>
      <vt:lpstr>2.1 纸垫机</vt:lpstr>
      <vt:lpstr>2.1 纸垫机外设配件</vt:lpstr>
      <vt:lpstr>2.2 纸耗材</vt:lpstr>
      <vt:lpstr>2.3 纸机备件</vt:lpstr>
      <vt:lpstr>3.1 胶带机</vt:lpstr>
      <vt:lpstr>3.1 胶带机外设配件</vt:lpstr>
      <vt:lpstr>3.2 湿水胶带耗材</vt:lpstr>
      <vt:lpstr>3.3 湿水胶带机备件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2025-06-07T11:12:00Z</dcterms:created>
  <dcterms:modified xsi:type="dcterms:W3CDTF">2025-06-07T04:28:56Z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B97F0F3570F9438D78224468DB3F6F78_42</vt:lpwstr>
  </property>
  <property fmtid="{D5CDD505-2E9C-101B-9397-08002B2CF9AE}" pid="3" name="KSOProductBuildVer">
    <vt:lpwstr>2052-7.5.1.8994</vt:lpwstr>
  </property>
</Properties>
</file>