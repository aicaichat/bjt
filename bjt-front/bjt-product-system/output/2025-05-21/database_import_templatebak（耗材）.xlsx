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9400" windowHeight="13660" firstSheet="1" activeTab="5"/>
  </bookViews>
  <sheets>
    <sheet name="使用说明" sheetId="1" r:id="rId1"/>
    <sheet name="wp_bjt_consumables" sheetId="3" r:id="rId2"/>
    <sheet name="wp_bjt_shapes" sheetId="19" r:id="rId3"/>
    <sheet name="wp_bjt_materials" sheetId="18" r:id="rId4"/>
    <sheet name="wp_bjt_specifications" sheetId="12" r:id="rId5"/>
    <sheet name="wp_bjt_users" sheetId="20" r:id="rId6"/>
  </sheets>
  <calcPr calcId="144525"/>
</workbook>
</file>

<file path=xl/sharedStrings.xml><?xml version="1.0" encoding="utf-8"?>
<sst xmlns="http://schemas.openxmlformats.org/spreadsheetml/2006/main" count="1411" uniqueCount="508">
  <si>
    <t>数据库导入模板使用说明</t>
  </si>
  <si>
    <t/>
  </si>
  <si>
    <t>1. 本Excel文件包含多个工作表，每个工作表对应一个数据库表。</t>
  </si>
  <si>
    <t>2. 每个工作表的第一行是列名，对应数据库表的字段名。</t>
  </si>
  <si>
    <t>3. 第2-6行是留给用户填写数据的空行。可自行扩展到多行</t>
  </si>
  <si>
    <t>4. 第8行开始是示例数据，仅供参考，不会被导入。</t>
  </si>
  <si>
    <t>5. 填写数据时，请遵循以下规则：</t>
  </si>
  <si>
    <t xml:space="preserve">   - 数字类型直接填写数字，不需要引号</t>
  </si>
  <si>
    <t xml:space="preserve">   - 字符串类型直接填写文本，不需要引号</t>
  </si>
  <si>
    <t xml:space="preserve">   - 日期类型请使用YYYY-MM-DD格式</t>
  </si>
  <si>
    <t xml:space="preserve">   - 日期时间类型请使用YYYY-MM-DD HH:MM:SS格式</t>
  </si>
  <si>
    <t xml:space="preserve">   - 空值请留空或填写NULL</t>
  </si>
  <si>
    <t xml:space="preserve">   - 如需使用数据库函数如NOW()，请直接填写函数名</t>
  </si>
  <si>
    <t>6. 填写完毕后，使用导入脚本将数据导入数据库。</t>
  </si>
  <si>
    <t>注意：请不要修改表格的结构，包括列名和格式。</t>
  </si>
  <si>
    <t>导出 SQL 前请删除或清空所有样例数据行（通常为第8行及以后），否则这些数据也会被转为 SQL 语句！</t>
  </si>
  <si>
    <t>图片字段填写要求：</t>
  </si>
  <si>
    <t>- 图片字段请填写图片的URL路径，如 /images/shop/LA-E4S.jpg，不要直接粘贴图片。</t>
  </si>
  <si>
    <t>- 推荐图片尺寸：宽度800像素，高度800像素，比例要求1:1（正方形）。</t>
  </si>
  <si>
    <t>- 单张图片大小建议不超过500KB，最佳为100~300KB，以保证前端页面加载速度。</t>
  </si>
  <si>
    <t>- 推荐图片格式：JPG、PNG（如需透明背景请用PNG）。</t>
  </si>
  <si>
    <t>- 图片文件名建议使用英文、数字、下划线，避免中文和特殊字符。</t>
  </si>
  <si>
    <t>- 图片应居中、主体清晰，背景简洁，避免过多留白或裁切不当。</t>
  </si>
  <si>
    <t>- 如有多张图片字段（如image1_url, image2_url），请分别填写对应图片的URL。</t>
  </si>
  <si>
    <t>product_line_id</t>
  </si>
  <si>
    <t>model</t>
  </si>
  <si>
    <t>model_imperial</t>
  </si>
  <si>
    <t>part_number</t>
  </si>
  <si>
    <t>spec</t>
  </si>
  <si>
    <t>spec_imperial</t>
  </si>
  <si>
    <t>brand</t>
  </si>
  <si>
    <t>app_model</t>
  </si>
  <si>
    <t>bag_type</t>
  </si>
  <si>
    <t>material</t>
  </si>
  <si>
    <t>thickness_met</t>
  </si>
  <si>
    <t>thickness_imp</t>
  </si>
  <si>
    <t>width_met</t>
  </si>
  <si>
    <t>width_imp</t>
  </si>
  <si>
    <t>length_met</t>
  </si>
  <si>
    <t>length_imp</t>
  </si>
  <si>
    <t>bubble_diameter_met</t>
  </si>
  <si>
    <t>bubble_diameter_imp</t>
  </si>
  <si>
    <t>total_length_met</t>
  </si>
  <si>
    <t>total_length_imp</t>
  </si>
  <si>
    <t>package_type</t>
  </si>
  <si>
    <t>package_size_cm</t>
  </si>
  <si>
    <t>package_size_inch</t>
  </si>
  <si>
    <t>net_weight_kg</t>
  </si>
  <si>
    <t>net_weight_lbs</t>
  </si>
  <si>
    <t>gross_weight_kg</t>
  </si>
  <si>
    <t>gross_weight_lbs</t>
  </si>
  <si>
    <t>pcs_per_box</t>
  </si>
  <si>
    <t>image_url</t>
  </si>
  <si>
    <t>package_image_url</t>
  </si>
  <si>
    <t>pallet_size_cm</t>
  </si>
  <si>
    <t>pallet_size_inch</t>
  </si>
  <si>
    <t>pcs_per_pallet_a</t>
  </si>
  <si>
    <t>pallet_gross_weight_a_kg</t>
  </si>
  <si>
    <t>pallet_gross_weight_a_lbs</t>
  </si>
  <si>
    <t>pallet_height_a_cm</t>
  </si>
  <si>
    <t>pallet_height_a_inch</t>
  </si>
  <si>
    <t>pcs_per_pallet_b</t>
  </si>
  <si>
    <t>pallet_gross_weight_b_kg</t>
  </si>
  <si>
    <t>pallet_gross_weight_b_lbs</t>
  </si>
  <si>
    <t>pallet_height_b_cm</t>
  </si>
  <si>
    <t>pallet_height_b_inch</t>
  </si>
  <si>
    <t>pcs_per_pallet_c</t>
  </si>
  <si>
    <t>pallet_gross_weight_c_kg</t>
  </si>
  <si>
    <t>pallet_gross_weight_c_lbs</t>
  </si>
  <si>
    <t>pallet_height_c_cm</t>
  </si>
  <si>
    <t>pallet_height_c_inch</t>
  </si>
  <si>
    <t>tube_inner_diameter_cm</t>
  </si>
  <si>
    <t>tube_inner_diameter_inch</t>
  </si>
  <si>
    <t>status</t>
  </si>
  <si>
    <t>unit</t>
  </si>
  <si>
    <t>1</t>
  </si>
  <si>
    <t>MEX-RH30-13-20-13-L</t>
  </si>
  <si>
    <t>MEX-RH30-05-08-5-L</t>
  </si>
  <si>
    <t>90R01258</t>
  </si>
  <si>
    <t>13um 30%HDPE Pillow, 20cmx13cm,1000m,150R/PL</t>
  </si>
  <si>
    <t>.5mil  30%HDPE Pillow, 8"x5.0", 3281', 150R/PL</t>
  </si>
  <si>
    <t>Lockedair</t>
  </si>
  <si>
    <t>LA-E4C,"LA-E4S V2.0"</t>
  </si>
  <si>
    <t>Pillow</t>
  </si>
  <si>
    <t>30% HDPE</t>
  </si>
  <si>
    <t>13</t>
  </si>
  <si>
    <t>20</t>
  </si>
  <si>
    <t>Carton</t>
  </si>
  <si>
    <t>21*21*42</t>
  </si>
  <si>
    <t>8.3*8.3*16.5</t>
  </si>
  <si>
    <t>\images\MEX\consumables\MEX.png</t>
  </si>
  <si>
    <t>\images\Package\40small</t>
  </si>
  <si>
    <t>110*110</t>
  </si>
  <si>
    <t>43.3*43.3</t>
  </si>
  <si>
    <t>publish</t>
  </si>
  <si>
    <t>Roll</t>
  </si>
  <si>
    <t>MEX-H-13-20-13-L</t>
  </si>
  <si>
    <t>MEX-H-05-08-5-L</t>
  </si>
  <si>
    <t>90R01312</t>
  </si>
  <si>
    <t>13um HDPE Pillow, 20cmx13cm,1000m,150R/PL</t>
  </si>
  <si>
    <t>.5mil HDPE Pillow, 8"x5.0", 3281', 150R/PL</t>
  </si>
  <si>
    <t>HDPE</t>
  </si>
  <si>
    <t>MEX-H-13-20-20-L</t>
  </si>
  <si>
    <t>MEX-H-05-08-8-L</t>
  </si>
  <si>
    <t>90R01313</t>
  </si>
  <si>
    <t>13um HDPE Pillow, 20cmx20cm,1000m,150R/PL</t>
  </si>
  <si>
    <t>.5mil HDPE Pillow, 8"x8.0", 3281', 150R/PL</t>
  </si>
  <si>
    <t>100*100</t>
  </si>
  <si>
    <t>MEX-RH50-15-20-13-L</t>
  </si>
  <si>
    <t>MEX-RH50-06-08-5-L</t>
  </si>
  <si>
    <t>90R01286</t>
  </si>
  <si>
    <t>15um 50%HDPE Pillow, 20cmx13cm,800m,150R/PL</t>
  </si>
  <si>
    <t>.6mil 50%HDPE Pillow, 8"x5.0", 2625', 150R/PL</t>
  </si>
  <si>
    <t>50% HDPE</t>
  </si>
  <si>
    <t>15</t>
  </si>
  <si>
    <t>MEX-RH50-15-20-20-L</t>
  </si>
  <si>
    <t>MEX-RH50-06-08-8-L</t>
  </si>
  <si>
    <t>90R01287</t>
  </si>
  <si>
    <t>15um 50%HDPE Pillow, 20cmx20cm,800m,150R/PL</t>
  </si>
  <si>
    <t>.6mil 50%HDPE Pillow, 8"x8.0", 2625', 150R/PL</t>
  </si>
  <si>
    <t>MEX-RH50-17-20-12-L</t>
  </si>
  <si>
    <t>MEX-RH50-07-08-4.7-L</t>
  </si>
  <si>
    <t>90R01292</t>
  </si>
  <si>
    <t>17um 50%HDPE Pillow, 20cmx12cm,700m,150R/PL</t>
  </si>
  <si>
    <t>.7mil 50%HDPE Pillow, 8"x4.7", 2296', 150R/PL</t>
  </si>
  <si>
    <t>17</t>
  </si>
  <si>
    <t>MEX-RH50-17-20-17.5-L</t>
  </si>
  <si>
    <t>MEX-RH50-07-08-6.9-L</t>
  </si>
  <si>
    <t>90R01293</t>
  </si>
  <si>
    <t>17um 50%HDPE Pillow, 20cmx17.5cm,700m,150R/PL</t>
  </si>
  <si>
    <t>.7mil 50%HDPE Pillow, 8"x6.9", 2296', 150R/PL</t>
  </si>
  <si>
    <t xml:space="preserve">MEX-RH50-20-20-13-L </t>
  </si>
  <si>
    <t xml:space="preserve">MEX-RH50-08-08-5-L </t>
  </si>
  <si>
    <t>90R01240</t>
  </si>
  <si>
    <t>20um 50%HDPE Pillow, 20cmx13cm,700m,150R/PL</t>
  </si>
  <si>
    <t>.8mil 50%HDPE Pillow, 8"x5.0", 2296', 150R/PL</t>
  </si>
  <si>
    <t>MEX-H-20-20-10-L</t>
  </si>
  <si>
    <t>MEX-H-08-08-4-L</t>
  </si>
  <si>
    <t>90R01154</t>
  </si>
  <si>
    <t>20um HDPE Pillow, 20cmx10cm,700m,150R/PL</t>
  </si>
  <si>
    <t>.8mil HDPE Pillow, 8"x4.0", 2296', 150R/PL</t>
  </si>
  <si>
    <t>MEX-H-20-20-13-L</t>
  </si>
  <si>
    <t>MEX-H-08-08-5-L</t>
  </si>
  <si>
    <t>90R01310</t>
  </si>
  <si>
    <t>20um HDPE Pillow, 20cmx13cm,700m,150R/PL</t>
  </si>
  <si>
    <t>.8mil HDPE Pillow, 8"x5.0", 2296', 150R/PL</t>
  </si>
  <si>
    <t>105*105</t>
  </si>
  <si>
    <t>41.3*41.3</t>
  </si>
  <si>
    <t>MEX-H-20-20-20-L</t>
  </si>
  <si>
    <t>MEX-H-08-08-8-L</t>
  </si>
  <si>
    <t>90R01311</t>
  </si>
  <si>
    <t>20um HDPE Pillow, 20cmx20cm,700m,150R/PL</t>
  </si>
  <si>
    <t>.8mil HDPE Pillow, 8"x8.0", 2296', 150R/PL</t>
  </si>
  <si>
    <t>MEX-RH50-20-20-10-L</t>
  </si>
  <si>
    <t>MEX-RH50-08-08-4-L</t>
  </si>
  <si>
    <t>90R01241</t>
  </si>
  <si>
    <t>20um 50%HDPE Pillow, 20cmx10cm,700m,150R/PL</t>
  </si>
  <si>
    <t>.8mil 50%HDPE Pillow, 8"x4.0", 2296', 150R/PL</t>
  </si>
  <si>
    <t>MEX-RL50-25-20-13-L</t>
  </si>
  <si>
    <t>90R01288</t>
  </si>
  <si>
    <t>25um 50%LDPE Pillow, 20cmx13cm,480m,150R/PL</t>
  </si>
  <si>
    <t>1mil 50%LDPE Pillow, 8"x5.0", 1575', 150R/PL</t>
  </si>
  <si>
    <t>50% LDPE</t>
  </si>
  <si>
    <t>25</t>
  </si>
  <si>
    <t>MEX-L-25-20-10-L</t>
  </si>
  <si>
    <t>MEX-L-10-08-4-L</t>
  </si>
  <si>
    <t>90R01244</t>
  </si>
  <si>
    <t>25um LDPE Pillow, 20cmx10cm,480m,150R/PL</t>
  </si>
  <si>
    <t>1mil LDPE Pillow, 8"x4.0", 1575', 150R/PL</t>
  </si>
  <si>
    <t>LDPE</t>
  </si>
  <si>
    <t>MEX-L-25-20-13-L</t>
  </si>
  <si>
    <t>MEX-L-10-08-5-L</t>
  </si>
  <si>
    <t>90R01314</t>
  </si>
  <si>
    <t>25um LDPE Pillow, 20cmx13cm,480m,150R/PL</t>
  </si>
  <si>
    <t>1mil LDPE Pillow, 8"x5.0", 1575', 150R/PL</t>
  </si>
  <si>
    <t>39.4*39.4</t>
  </si>
  <si>
    <t>MEY-H-13-20-13-L</t>
  </si>
  <si>
    <t>MEY-H-05-08-5-L</t>
  </si>
  <si>
    <t>90S01005</t>
  </si>
  <si>
    <t>13um HDPE, 20cmx13cm,2300m,72R/PL</t>
  </si>
  <si>
    <t>.5mil  HDPE, 8"x5.0", 7546', 72R/PL</t>
  </si>
  <si>
    <t>LA-E5P</t>
  </si>
  <si>
    <t>Precut Air Pillow</t>
  </si>
  <si>
    <t>120*90</t>
  </si>
  <si>
    <t>47.2*35.4</t>
  </si>
  <si>
    <t>MEY-H-13-20-20-L</t>
  </si>
  <si>
    <t>MEY-H-05-08-8-L</t>
  </si>
  <si>
    <t>90S01006</t>
  </si>
  <si>
    <t>13um HDPE, 20cmx20cm,2300m,72R/PL</t>
  </si>
  <si>
    <t>.5mil  HDPE, 8"x8.0", 7546', 72R/PL</t>
  </si>
  <si>
    <t>MEY-RH30-13-20-12.5-L</t>
  </si>
  <si>
    <t>MEY-RH30-05-08-5-L</t>
  </si>
  <si>
    <t>90R01248</t>
  </si>
  <si>
    <t>13um 30%HDPE, 20cmx12.5cm,2300m,72R/PL</t>
  </si>
  <si>
    <t>.5mil  30%HDPE, 8"x5.0", 7546', 72R/PL</t>
  </si>
  <si>
    <t>30*30*21</t>
  </si>
  <si>
    <t>11.8*11.8*8.3</t>
  </si>
  <si>
    <t>\images\Package\20</t>
  </si>
  <si>
    <t>120*100</t>
  </si>
  <si>
    <t>47.2*39.4</t>
  </si>
  <si>
    <t>MEY-H-20-20-10-L</t>
  </si>
  <si>
    <t>MEY-H-08-08-4-L</t>
  </si>
  <si>
    <t>90R01243</t>
  </si>
  <si>
    <t>20um HDPE, 20cmx10cm,1460m,72R/PL</t>
  </si>
  <si>
    <t>.8mil  HDPE, 8"x4.0", 4790', 72R/PL</t>
  </si>
  <si>
    <t>MEY-RH50-20-20-13-L</t>
  </si>
  <si>
    <t>MEY-RH50-08-08-5-L</t>
  </si>
  <si>
    <t>90S01002</t>
  </si>
  <si>
    <t>20um 50%HDPE, 20cmx13cm,1460m,72R/PL</t>
  </si>
  <si>
    <t>.8mil 50%HDPE, 8"x5.0", 4790', 72R/PL</t>
  </si>
  <si>
    <t>MFB-RH50-17-40-16.5-L</t>
  </si>
  <si>
    <t>MFB-RH50-07-16-6.5-L</t>
  </si>
  <si>
    <t>90B01233</t>
  </si>
  <si>
    <t>17um 50%HDPE, φ4.3cmBubble, 40cmx16.5cm,450m,90R/PL</t>
  </si>
  <si>
    <t>.7mil 50%HDPE, φ1.7"Bubble, 16"x6.5", 1476', 90R/PL</t>
  </si>
  <si>
    <t>Bubble</t>
  </si>
  <si>
    <t>40</t>
  </si>
  <si>
    <t>19*19*41</t>
  </si>
  <si>
    <t>7.5*7.5*16.1</t>
  </si>
  <si>
    <t>\images\MFB\consumables\MFB-40-16.5.png</t>
  </si>
  <si>
    <t>MFB-H-20-40-33-C</t>
  </si>
  <si>
    <t>MFB-H-08-16-13-C</t>
  </si>
  <si>
    <t>90B01011</t>
  </si>
  <si>
    <t>20um HDPE, φ4.3cmBubble, 40cmx33cm,450m,90R/PL</t>
  </si>
  <si>
    <t>.8mil HDPE, φ1.7"Bubble, 16"x13.0", 1476', 90R/PL</t>
  </si>
  <si>
    <t>\images\MFB\consumables\MFB-40-33.png</t>
  </si>
  <si>
    <t>MFB-A-20-40-16.5-L</t>
  </si>
  <si>
    <t>MFB-A-08-16-6.5-L</t>
  </si>
  <si>
    <t>90B01178</t>
  </si>
  <si>
    <t>20um PAPE, φ4.3cmBubble, 40cmx16.5cm,600m,90R/PL</t>
  </si>
  <si>
    <t>.8mil PAPE, φ1.7"Bubble, 16"x6.5", 1969', 90R/PL</t>
  </si>
  <si>
    <t>LA-E4C,"LA-E4S V2.0",LA-F2</t>
  </si>
  <si>
    <t>PAPE</t>
  </si>
  <si>
    <t>MFB-H-20-40-16.5-L</t>
  </si>
  <si>
    <t>MFB-H-08-16-6.5-L</t>
  </si>
  <si>
    <t>90B01259</t>
  </si>
  <si>
    <t>20um HDPE, φ4.3cmBubble, 40cmx16.5cm,450m,90R/PL</t>
  </si>
  <si>
    <t>.8mil HDPE, φ1.7"Bubble, 16"x6.5", 1476', 90R/PL</t>
  </si>
  <si>
    <t>113*113</t>
  </si>
  <si>
    <t>44.5*44.5</t>
  </si>
  <si>
    <t>MFB-H-20-40-33-L</t>
  </si>
  <si>
    <t>MFB-H-08-16-13-L</t>
  </si>
  <si>
    <t>90B01008</t>
  </si>
  <si>
    <t>MFB-RH50-20-40-33-L</t>
  </si>
  <si>
    <t>MFB-RH50-08-16-13-L</t>
  </si>
  <si>
    <t>90B01177</t>
  </si>
  <si>
    <t>20um 50%HDPE, φ4.3cmBubble, 40cmx33cm,450m,90R/PL</t>
  </si>
  <si>
    <t>.8mil 50%HDPE, φ1.7"Bubble, 16"x13.0", 1476', 90R/PL</t>
  </si>
  <si>
    <t>MFB-RH50-20-40-16.5-L</t>
  </si>
  <si>
    <t>MFB-RH50-08-16-6.5-L</t>
  </si>
  <si>
    <t>90B01195</t>
  </si>
  <si>
    <t>20um 50%HDPE, φ4.3cmBubble, 40cmx16.5cm,450m,90R/PL</t>
  </si>
  <si>
    <t>.8mil 50%HDPE, φ1.7"Bubble, 16"x6.5", 1476', 90R/PL</t>
  </si>
  <si>
    <t>MFB-A-20-40-33-L</t>
  </si>
  <si>
    <t>MFB-A-08-16-13-L</t>
  </si>
  <si>
    <t>90B01181</t>
  </si>
  <si>
    <t>20um PAPE, φ4.3cmBubble, 40cmx33cm,600m,90R/PL</t>
  </si>
  <si>
    <t>.8mil PAPE, φ1.7"Bubble, 16"x13.0", 1969', 90R/PL</t>
  </si>
  <si>
    <t>MFB-A-26-40-33-L</t>
  </si>
  <si>
    <t>MFB-A-10-16-13-L</t>
  </si>
  <si>
    <t>90B01033</t>
  </si>
  <si>
    <t>26um PAPE, φ4.3cmBubble, 40cmx33cm,450m,90R/PL</t>
  </si>
  <si>
    <t>1mil PAPE, φ1.7"Bubble, 16"x13.0", 1476', 90R/PL</t>
  </si>
  <si>
    <t>26</t>
  </si>
  <si>
    <t>MFB-A-26-40-16.5-L</t>
  </si>
  <si>
    <t>MFB-A-10-16-6.5-L</t>
  </si>
  <si>
    <t>90B01087</t>
  </si>
  <si>
    <t>26um PAPE, φ4.3cmBubble, 40cmx16.5cm,450m,90R/PL</t>
  </si>
  <si>
    <t>1mil PAPE, φ1.7"Bubble, 16"x6.5", 1476', 90R/PL</t>
  </si>
  <si>
    <t>MFB-A-35-40-33-L</t>
  </si>
  <si>
    <t>MFB-A-14-16-13-L</t>
  </si>
  <si>
    <t>90B01080</t>
  </si>
  <si>
    <t>35um PAPE, φ4.3cmBubble, 40cmx33cm,320m,90R/PL</t>
  </si>
  <si>
    <t>1.4mil PAPE, φ1.7"Bubble, 16"x13.0", 1050', 90R/PL</t>
  </si>
  <si>
    <t>35</t>
  </si>
  <si>
    <t>MFB-A-35-80-16.5-L</t>
  </si>
  <si>
    <t>MFB-A-14-32-6.5-L</t>
  </si>
  <si>
    <t>90B01264</t>
  </si>
  <si>
    <t>35um PAPE, φ4.3cmBubble, 80cmx16.5cm,200m,72R/PL</t>
  </si>
  <si>
    <t>1.4mil PAPE, φ1.7"Bubble, 32"x6.5", 656', 72R/PL</t>
  </si>
  <si>
    <t>LA-F2</t>
  </si>
  <si>
    <t>80</t>
  </si>
  <si>
    <t>17*17*81</t>
  </si>
  <si>
    <t>6.7*6.7*31.9</t>
  </si>
  <si>
    <t>\images\MFB\consumables\MFB-80-16.5.png</t>
  </si>
  <si>
    <t>\images\Package\80small</t>
  </si>
  <si>
    <t>MFB-A-26-80-33-L</t>
  </si>
  <si>
    <t>MFB-A-10-32-13-L</t>
  </si>
  <si>
    <t>90B01041</t>
  </si>
  <si>
    <t>26um PAPE, φ4.3cmBubble, 80cmx33cm,110m,128R/PL</t>
  </si>
  <si>
    <t>1mil PAPE, φ1.7"Bubble, 32"x13.0", 361', 128R/PL</t>
  </si>
  <si>
    <t>"LA-E4S V2.0",LA-F2</t>
  </si>
  <si>
    <t>24*24*81</t>
  </si>
  <si>
    <t>9.4*9.4*31.9</t>
  </si>
  <si>
    <t>\images\MFB\consumables\MFB-80-33.png</t>
  </si>
  <si>
    <t>MFB32-A-26-40-34.5-L</t>
  </si>
  <si>
    <t>MFB32-A-10-16-13.6-L</t>
  </si>
  <si>
    <t>90B01180</t>
  </si>
  <si>
    <t>26um PAPE, φ3.2cmBubble, 40cmx34.5cm,450m,90R/PL</t>
  </si>
  <si>
    <t>1mil PAPE, φ1.3"Bubble, 16"x13.6", 1476', 90R/PL</t>
  </si>
  <si>
    <t>MFB25-A-20-40-32-L</t>
  </si>
  <si>
    <t>MFB25-A-08-16-12.6-L</t>
  </si>
  <si>
    <t>90B01183</t>
  </si>
  <si>
    <t>20um PAPE, φ2.5cmBubble, 40cmx32cm,600m,90R/PL</t>
  </si>
  <si>
    <t>.8mil PAPE, φ1.0"Bubble, 16"x12.6", 1969', 90R/PL</t>
  </si>
  <si>
    <t>MFB25-A-35-40-32-L</t>
  </si>
  <si>
    <t>90B01261</t>
  </si>
  <si>
    <t>35um PAPE, φ2.5cmBubble, 40cmx32cm,320m,108R/PL</t>
  </si>
  <si>
    <t>1.4mil PAPE, φ1.0"Bubble, 16"x12.6", 1050', 108R/PL</t>
  </si>
  <si>
    <t>MFB25-RH50-20-40-32-L</t>
  </si>
  <si>
    <t>MFB25-RH50-08-16-12.6-L</t>
  </si>
  <si>
    <t>90B01196</t>
  </si>
  <si>
    <t>20um 50%HDPE, φ2.5cmBubble, 40cmx32cm,450m,90R/PL</t>
  </si>
  <si>
    <t>.8mil 50%HDPE, φ1.0"Bubble, 16"x12.6", 1476', 90R/PL</t>
  </si>
  <si>
    <t>MFC-H-20-40-28-L</t>
  </si>
  <si>
    <t>MFC-H-08-16-11-L</t>
  </si>
  <si>
    <t>90A01031</t>
  </si>
  <si>
    <t>20um HDPE, Tube, 40cmx28cm,450m,90R/PL</t>
  </si>
  <si>
    <t>.8mil HDPE, Tube, 16"x11", 1476', 90R/PL</t>
  </si>
  <si>
    <t>Tube</t>
  </si>
  <si>
    <t>\images\MFC\consumables\MFC-40-28.png</t>
  </si>
  <si>
    <t>MFF-A-20-40-34-C</t>
  </si>
  <si>
    <t>MFF-A-08-16-13.4-C</t>
  </si>
  <si>
    <t>90B01255</t>
  </si>
  <si>
    <t>20um PAPE, φ1.5cmBubble, 40cmx34cm,600m,90R/PL</t>
  </si>
  <si>
    <t>.8mil PAPE, φ0.6"Bubble, 16"x13.4", 1969', 90R/PL</t>
  </si>
  <si>
    <t>\images\MFF\consumables\MFF-40-34.png</t>
  </si>
  <si>
    <t>MFF-H-20-40-17-L</t>
  </si>
  <si>
    <t>MFF-H-08-16-6.7-L</t>
  </si>
  <si>
    <t>90B01258</t>
  </si>
  <si>
    <t>20um HDPE, φ1.5cmBubble, 40cmx17cm,450m,108R/PL</t>
  </si>
  <si>
    <t>.8mil HDPE, φ0.6"Bubble, 16"x6.7", 1476', 108R/PL</t>
  </si>
  <si>
    <t>\images\MFF\consumables\MFF-40-17.png</t>
  </si>
  <si>
    <t>MFF-H-20-80-34-L</t>
  </si>
  <si>
    <t>MFF-H-08-32-13.4-L</t>
  </si>
  <si>
    <t>90B01254</t>
  </si>
  <si>
    <t>20um HDPE, φ1.5cmBubble, 80cmx34cm,225m,96R/PL</t>
  </si>
  <si>
    <t>.8mil HDPE, φ0.6"Bubble, 32"x13.4", 738', 96R/PL</t>
  </si>
  <si>
    <t>"LA-E4S V2.0"</t>
  </si>
  <si>
    <t>30*15.5*81</t>
  </si>
  <si>
    <t>11.8*5.9*31.9</t>
  </si>
  <si>
    <t>\images\MFF\consumables\MFF-80-34.png</t>
  </si>
  <si>
    <t>\images\Package\80big</t>
  </si>
  <si>
    <t>MFF-H-20-80-17-L</t>
  </si>
  <si>
    <t>MFF-H-08-32-6.7-L</t>
  </si>
  <si>
    <t>90B01263</t>
  </si>
  <si>
    <t>20um HDPE, φ1.5cmBubble, 80cmx17cm,225m,96R/PL</t>
  </si>
  <si>
    <t>.8mil HDPE, φ0.6"Bubble, 32"x6.7", 738', 96R/PL</t>
  </si>
  <si>
    <t>\images\MFF\consumables\MFF-80-17.png</t>
  </si>
  <si>
    <t>MFC-RH50-20-40-14-L</t>
  </si>
  <si>
    <t>MFC-RH50-08-16-5.5-L</t>
  </si>
  <si>
    <t>90A01057</t>
  </si>
  <si>
    <t>20um 50%HDPE, Tube, 40cmx14cm,450m,90R/PL</t>
  </si>
  <si>
    <t>.8mil 50%HDPE, Tube, 16"x5.5", 1476', 90R/PL</t>
  </si>
  <si>
    <t>\images\MFC\consumables\MFC-40-14.png</t>
  </si>
  <si>
    <t>MFC-RH50-17-40-28-L</t>
  </si>
  <si>
    <t>MFC-RH50-07-16-11-L</t>
  </si>
  <si>
    <t>90B01236</t>
  </si>
  <si>
    <t>17um 50%HDPE, Tube, 40cmx28cm,450m,90R/PL</t>
  </si>
  <si>
    <t>.7mil 50%HDPE, Tube, 16"x11.0", 1476', 90R/PL</t>
  </si>
  <si>
    <t>MFC-H-20-40-14-C</t>
  </si>
  <si>
    <t>MFC-H-08-16-5.5-C</t>
  </si>
  <si>
    <t>90B01139</t>
  </si>
  <si>
    <t>20um HDPE, Tube, 40cmx14cm,450m,90R/PL</t>
  </si>
  <si>
    <t>.8mil HDPE, Tube, 16"x5.5", 1476', 90R/PL</t>
  </si>
  <si>
    <t>MFC-H-20-40-14-L</t>
  </si>
  <si>
    <t>MFC-H-08-16-5.5-L</t>
  </si>
  <si>
    <t>90A01063</t>
  </si>
  <si>
    <t>20um HDPE, Tube, 40cmx14cm,450m,108R/PL</t>
  </si>
  <si>
    <t>.8mil HDPE, Tube, 16"x5.5", 1476', 108R/PL</t>
  </si>
  <si>
    <t>MFC-KPB-50-40-14-L</t>
  </si>
  <si>
    <t>MFC-KPB-30-16-5.5-L</t>
  </si>
  <si>
    <t>92A01007</t>
  </si>
  <si>
    <t>45g PAPER, Bubble, 40cmx14cm,220m,90R/PL</t>
  </si>
  <si>
    <t>27# PAPER, Bubble, 16"x5.5",722',90R/PL</t>
  </si>
  <si>
    <t>LA-E4S(paper)</t>
  </si>
  <si>
    <t>paper Bubble</t>
  </si>
  <si>
    <t>PAPER</t>
  </si>
  <si>
    <t>40*20.5*42</t>
  </si>
  <si>
    <t>15.7*8.1*16.5</t>
  </si>
  <si>
    <t>\images\MFC\consumables\MFC-KPB-40-14.png</t>
  </si>
  <si>
    <t>\images\Package\40big</t>
  </si>
  <si>
    <t>120*106</t>
  </si>
  <si>
    <t>47.2*41.7</t>
  </si>
  <si>
    <t>MEX-KPB-50-20-13-L</t>
  </si>
  <si>
    <t>MEX-KPB-30-08-5-L</t>
  </si>
  <si>
    <t>92R01006</t>
  </si>
  <si>
    <t>45g paper Air Pillow, 20cmx13cm,220m,180R/PL</t>
  </si>
  <si>
    <t>27# PAPER Air Pillow, 8"x5.0",722',180R/PL</t>
  </si>
  <si>
    <t>paper air Pillow</t>
  </si>
  <si>
    <t>\images\MEX\consumables\MEX-KPB.png'</t>
  </si>
  <si>
    <t>code</t>
  </si>
  <si>
    <t>name_zh</t>
  </si>
  <si>
    <t>name_en</t>
  </si>
  <si>
    <t>image_url2</t>
  </si>
  <si>
    <t>sort_order</t>
  </si>
  <si>
    <t>MEX</t>
  </si>
  <si>
    <t>气泡枕</t>
  </si>
  <si>
    <t>\images\MEX\values\MEX.png</t>
  </si>
  <si>
    <t>\images\MEX\values\MEX-2.png</t>
  </si>
  <si>
    <t>MEY</t>
  </si>
  <si>
    <t>开口气泡枕</t>
  </si>
  <si>
    <t>MFB</t>
  </si>
  <si>
    <t>葫芦膜</t>
  </si>
  <si>
    <t>\images\MFB\values\MFB.png</t>
  </si>
  <si>
    <t>\images\MFB\values\MFB-2.png</t>
  </si>
  <si>
    <t>MFC</t>
  </si>
  <si>
    <t>气枕膜</t>
  </si>
  <si>
    <t>\images\MFC\values\MFC.png</t>
  </si>
  <si>
    <t>\images\MFC\values\MFC-2.png</t>
  </si>
  <si>
    <t>MFF</t>
  </si>
  <si>
    <t>\images\MFF\values\MFF.png</t>
  </si>
  <si>
    <t>\images\MFF\values\MFF-2.png</t>
  </si>
  <si>
    <t>base_material</t>
  </si>
  <si>
    <t>30%回料HDPE</t>
  </si>
  <si>
    <t>"30%Recycled HDPE"</t>
  </si>
  <si>
    <t>50%回料HDPE</t>
  </si>
  <si>
    <t>"50%Recycled HDPE"</t>
  </si>
  <si>
    <t>"HDPE"</t>
  </si>
  <si>
    <t>50%回料LDPE</t>
  </si>
  <si>
    <t>"50%Recycled LDPE"</t>
  </si>
  <si>
    <t>"LDPE"</t>
  </si>
  <si>
    <t>PAPE共挤膜</t>
  </si>
  <si>
    <t>"PA-PE co-extruded"</t>
  </si>
  <si>
    <t>纸塑膜</t>
  </si>
  <si>
    <t>"Paper-plastic"</t>
  </si>
  <si>
    <t>spec_type</t>
  </si>
  <si>
    <t>metric_value</t>
  </si>
  <si>
    <t>metric_unit</t>
  </si>
  <si>
    <t>imperial_value</t>
  </si>
  <si>
    <t>imperial_unit</t>
  </si>
  <si>
    <t>thickness</t>
  </si>
  <si>
    <t>um</t>
  </si>
  <si>
    <t>mil</t>
  </si>
  <si>
    <t>weight</t>
  </si>
  <si>
    <t>gsm</t>
  </si>
  <si>
    <t>#</t>
  </si>
  <si>
    <t>width</t>
  </si>
  <si>
    <t>cm</t>
  </si>
  <si>
    <t>inch</t>
  </si>
  <si>
    <t>length</t>
  </si>
  <si>
    <t>username</t>
  </si>
  <si>
    <t>email</t>
  </si>
  <si>
    <t>password</t>
  </si>
  <si>
    <t>customer_code</t>
  </si>
  <si>
    <t>role</t>
  </si>
  <si>
    <t>country</t>
  </si>
  <si>
    <t>region</t>
  </si>
  <si>
    <t>company_logo</t>
  </si>
  <si>
    <t>created_at</t>
  </si>
  <si>
    <t>updated_at</t>
  </si>
  <si>
    <t>preferred_unit</t>
  </si>
  <si>
    <t>admin</t>
  </si>
  <si>
    <t>admin@lockedair.com</t>
  </si>
  <si>
    <t>active</t>
  </si>
  <si>
    <t>sales_CN</t>
  </si>
  <si>
    <t>sales_CN@lockedair.com</t>
  </si>
  <si>
    <t>sales_CN123</t>
  </si>
  <si>
    <t>sales</t>
  </si>
  <si>
    <t>中国</t>
  </si>
  <si>
    <t>CN</t>
  </si>
  <si>
    <t>Metric</t>
  </si>
  <si>
    <t>sales_US</t>
  </si>
  <si>
    <t>sales_US@lockedair.com</t>
  </si>
  <si>
    <t>sales_US123</t>
  </si>
  <si>
    <t>美国</t>
  </si>
  <si>
    <t>US</t>
  </si>
  <si>
    <t>Imperial</t>
  </si>
  <si>
    <t>sales_DE</t>
  </si>
  <si>
    <t>sales_DE@lockedair.com</t>
  </si>
  <si>
    <t>sales_DE123</t>
  </si>
  <si>
    <t>德国</t>
  </si>
  <si>
    <t>DE</t>
  </si>
  <si>
    <t>sales_AU</t>
  </si>
  <si>
    <t>sales_AU@lockedair.com</t>
  </si>
  <si>
    <t>sales_AU123</t>
  </si>
  <si>
    <t>澳大利亚</t>
  </si>
  <si>
    <t>AU</t>
  </si>
  <si>
    <t>customer_CN</t>
  </si>
  <si>
    <t>customer_CN@lockedair.com</t>
  </si>
  <si>
    <t>customer_CN123</t>
  </si>
  <si>
    <t>customer</t>
  </si>
  <si>
    <t>日本</t>
  </si>
  <si>
    <t>customer_US</t>
  </si>
  <si>
    <t>customer_US@lockedair.com</t>
  </si>
  <si>
    <t>customer_US123</t>
  </si>
  <si>
    <t>customer_DE</t>
  </si>
  <si>
    <t>customer_DE@lockedair.com</t>
  </si>
  <si>
    <t>customer_DE123</t>
  </si>
  <si>
    <t>英国</t>
  </si>
  <si>
    <t>customer_AU</t>
  </si>
  <si>
    <t>customer_AU@lockedair.com</t>
  </si>
  <si>
    <t>customer_AU123</t>
  </si>
  <si>
    <t>distributor_CN</t>
  </si>
  <si>
    <t>distributor_CN@lockedair.com</t>
  </si>
  <si>
    <t>distributor_CN123</t>
  </si>
  <si>
    <t>distributor</t>
  </si>
  <si>
    <t>韩国</t>
  </si>
  <si>
    <t>distributor_US</t>
  </si>
  <si>
    <t>distributor_US@lockedair.com</t>
  </si>
  <si>
    <t>distributor_US123</t>
  </si>
  <si>
    <t>distributor_DE</t>
  </si>
  <si>
    <t>distributor_DE@lockedair.com</t>
  </si>
  <si>
    <t>distributor_DE123</t>
  </si>
  <si>
    <t>法国</t>
  </si>
  <si>
    <t>distributor_AU</t>
  </si>
  <si>
    <t>distributor_AU@lockedair.com</t>
  </si>
  <si>
    <t>distributor_AU123</t>
  </si>
</sst>
</file>

<file path=xl/styles.xml><?xml version="1.0" encoding="utf-8"?>
<styleSheet xmlns="http://schemas.openxmlformats.org/spreadsheetml/2006/main">
  <numFmts count="7">
    <numFmt numFmtId="176" formatCode="0_ "/>
    <numFmt numFmtId="177" formatCode="0.0_);[Red]\(0.0\)"/>
    <numFmt numFmtId="178" formatCode="0.0_ "/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41" formatCode="_ * #,##0_ ;_ * \-#,##0_ ;_ * &quot;-&quot;_ ;_ @_ "/>
    <numFmt numFmtId="43" formatCode="_ * #,##0.00_ ;_ * \-#,##0.00_ ;_ * &quot;-&quot;??_ ;_ @_ "/>
  </numFmts>
  <fonts count="27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theme="1"/>
      <name val="Times New Roman"/>
      <charset val="134"/>
    </font>
    <font>
      <sz val="11"/>
      <name val="Times New Roman"/>
      <charset val="134"/>
    </font>
    <font>
      <sz val="11"/>
      <color rgb="FF000000"/>
      <name val="宋体"/>
      <charset val="134"/>
    </font>
    <font>
      <sz val="11"/>
      <name val="宋体"/>
      <charset val="134"/>
      <scheme val="minor"/>
    </font>
    <font>
      <b/>
      <sz val="16"/>
      <name val="宋体"/>
      <charset val="134"/>
      <scheme val="minor"/>
    </font>
    <font>
      <i/>
      <sz val="11"/>
      <name val="宋体"/>
      <charset val="134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5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8"/>
      <color theme="3"/>
      <name val="宋体"/>
      <charset val="134"/>
      <scheme val="minor"/>
    </font>
    <font>
      <b/>
      <sz val="11"/>
      <color theme="1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9C6500"/>
      <name val="宋体"/>
      <charset val="0"/>
      <scheme val="minor"/>
    </font>
    <font>
      <sz val="11"/>
      <color rgb="FFFA7D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FF0000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DDEBF7"/>
        <bgColor rgb="FFDDEBF7"/>
      </patternFill>
    </fill>
    <fill>
      <patternFill patternType="solid">
        <fgColor rgb="FFFFFF00"/>
        <bgColor rgb="FFDDEBF7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/>
    <xf numFmtId="0" fontId="9" fillId="31" borderId="0" applyNumberFormat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25" fillId="32" borderId="10" applyNumberFormat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19" fillId="21" borderId="10" applyNumberFormat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18" borderId="0" applyNumberFormat="0" applyBorder="0" applyAlignment="0" applyProtection="0">
      <alignment vertical="center"/>
    </xf>
    <xf numFmtId="0" fontId="13" fillId="14" borderId="7" applyNumberFormat="0" applyAlignment="0" applyProtection="0">
      <alignment vertical="center"/>
    </xf>
    <xf numFmtId="0" fontId="24" fillId="21" borderId="12" applyNumberFormat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0" fillId="9" borderId="6" applyNumberFormat="0" applyFont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20" fillId="0" borderId="5" applyNumberFormat="0" applyFill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0" fillId="34" borderId="0" applyNumberFormat="0" applyBorder="0" applyAlignment="0" applyProtection="0">
      <alignment vertical="center"/>
    </xf>
    <xf numFmtId="0" fontId="22" fillId="0" borderId="11" applyNumberFormat="0" applyFill="0" applyAlignment="0" applyProtection="0">
      <alignment vertical="center"/>
    </xf>
  </cellStyleXfs>
  <cellXfs count="38">
    <xf numFmtId="0" fontId="0" fillId="0" borderId="0" xfId="0"/>
    <xf numFmtId="0" fontId="0" fillId="0" borderId="0" xfId="0" applyAlignment="1">
      <alignment wrapText="1"/>
    </xf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wrapText="1"/>
    </xf>
    <xf numFmtId="0" fontId="2" fillId="0" borderId="2" xfId="41" applyBorder="1" applyAlignment="1">
      <alignment wrapText="1"/>
    </xf>
    <xf numFmtId="0" fontId="0" fillId="0" borderId="2" xfId="0" applyFill="1" applyBorder="1" applyAlignment="1">
      <alignment wrapText="1"/>
    </xf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2" xfId="0" applyFont="1" applyBorder="1" applyAlignment="1">
      <alignment horizontal="center"/>
    </xf>
    <xf numFmtId="178" fontId="0" fillId="0" borderId="2" xfId="0" applyNumberFormat="1" applyFont="1" applyBorder="1" applyAlignment="1">
      <alignment horizontal="center" vertical="center" wrapText="1"/>
    </xf>
    <xf numFmtId="176" fontId="0" fillId="0" borderId="2" xfId="0" applyNumberFormat="1" applyFont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0" fillId="0" borderId="2" xfId="0" applyFont="1" applyFill="1" applyBorder="1" applyAlignment="1">
      <alignment horizontal="center" vertical="center" wrapText="1"/>
    </xf>
    <xf numFmtId="0" fontId="0" fillId="0" borderId="2" xfId="0" applyFont="1" applyFill="1" applyBorder="1" applyAlignment="1">
      <alignment horizontal="center" vertical="center"/>
    </xf>
    <xf numFmtId="0" fontId="0" fillId="0" borderId="0" xfId="0" applyFont="1"/>
    <xf numFmtId="0" fontId="0" fillId="0" borderId="2" xfId="0" applyFont="1" applyBorder="1" applyAlignment="1">
      <alignment horizontal="center" vertical="center" wrapText="1"/>
    </xf>
    <xf numFmtId="0" fontId="0" fillId="0" borderId="2" xfId="0" applyFont="1" applyBorder="1" applyAlignment="1">
      <alignment horizontal="center" vertical="center"/>
    </xf>
    <xf numFmtId="0" fontId="0" fillId="0" borderId="4" xfId="0" applyFont="1" applyFill="1" applyBorder="1" applyAlignment="1">
      <alignment horizontal="center" vertical="center"/>
    </xf>
    <xf numFmtId="0" fontId="0" fillId="0" borderId="0" xfId="0" applyAlignment="1">
      <alignment horizontal="center" wrapText="1"/>
    </xf>
    <xf numFmtId="0" fontId="0" fillId="0" borderId="2" xfId="0" applyBorder="1" applyAlignment="1">
      <alignment horizontal="center" vertical="center" wrapText="1"/>
    </xf>
    <xf numFmtId="0" fontId="3" fillId="0" borderId="2" xfId="0" applyFont="1" applyBorder="1" applyAlignment="1">
      <alignment horizontal="left" vertical="center" wrapText="1"/>
    </xf>
    <xf numFmtId="0" fontId="4" fillId="0" borderId="2" xfId="0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11" fontId="3" fillId="0" borderId="2" xfId="0" applyNumberFormat="1" applyFont="1" applyBorder="1" applyAlignment="1">
      <alignment horizontal="left" vertical="center" wrapText="1"/>
    </xf>
    <xf numFmtId="0" fontId="5" fillId="0" borderId="2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77" fontId="0" fillId="0" borderId="2" xfId="0" applyNumberFormat="1" applyBorder="1" applyAlignment="1">
      <alignment horizontal="center" vertical="center" wrapText="1"/>
    </xf>
    <xf numFmtId="178" fontId="0" fillId="0" borderId="2" xfId="0" applyNumberFormat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0" fillId="0" borderId="2" xfId="0" applyFont="1" applyBorder="1" applyAlignment="1">
      <alignment wrapText="1"/>
    </xf>
    <xf numFmtId="0" fontId="6" fillId="0" borderId="2" xfId="0" applyFont="1" applyBorder="1" applyAlignment="1">
      <alignment wrapText="1"/>
    </xf>
    <xf numFmtId="0" fontId="0" fillId="0" borderId="2" xfId="0" applyBorder="1" applyAlignment="1">
      <alignment horizontal="center" wrapText="1"/>
    </xf>
    <xf numFmtId="0" fontId="7" fillId="0" borderId="0" xfId="0" applyFont="1"/>
    <xf numFmtId="0" fontId="1" fillId="0" borderId="0" xfId="0" applyFont="1"/>
    <xf numFmtId="0" fontId="8" fillId="0" borderId="0" xfId="0" applyFont="1"/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6.xml.rels><?xml version="1.0" encoding="UTF-8" standalone="yes"?>
<Relationships xmlns="http://schemas.openxmlformats.org/package/2006/relationships"><Relationship Id="rId9" Type="http://schemas.openxmlformats.org/officeDocument/2006/relationships/hyperlink" Target="mailto:customer_AU@lockedair.com" TargetMode="External"/><Relationship Id="rId8" Type="http://schemas.openxmlformats.org/officeDocument/2006/relationships/hyperlink" Target="mailto:customer_DE@lockedair.com" TargetMode="External"/><Relationship Id="rId7" Type="http://schemas.openxmlformats.org/officeDocument/2006/relationships/hyperlink" Target="mailto:customer_US@lockedair.com" TargetMode="External"/><Relationship Id="rId6" Type="http://schemas.openxmlformats.org/officeDocument/2006/relationships/hyperlink" Target="mailto:customer_CN@lockedair.com" TargetMode="External"/><Relationship Id="rId5" Type="http://schemas.openxmlformats.org/officeDocument/2006/relationships/hyperlink" Target="mailto:sales_AU@lockedair.com" TargetMode="External"/><Relationship Id="rId4" Type="http://schemas.openxmlformats.org/officeDocument/2006/relationships/hyperlink" Target="mailto:sales_DE@lockedair.com" TargetMode="External"/><Relationship Id="rId3" Type="http://schemas.openxmlformats.org/officeDocument/2006/relationships/hyperlink" Target="mailto:sales_US@lockedair.com" TargetMode="External"/><Relationship Id="rId2" Type="http://schemas.openxmlformats.org/officeDocument/2006/relationships/hyperlink" Target="mailto:sales_CN@lockedair.com" TargetMode="External"/><Relationship Id="rId13" Type="http://schemas.openxmlformats.org/officeDocument/2006/relationships/hyperlink" Target="mailto:distributor_AU@lockedair.com" TargetMode="External"/><Relationship Id="rId12" Type="http://schemas.openxmlformats.org/officeDocument/2006/relationships/hyperlink" Target="mailto:distributor_DE@lockedair.com" TargetMode="External"/><Relationship Id="rId11" Type="http://schemas.openxmlformats.org/officeDocument/2006/relationships/hyperlink" Target="mailto:distributor_US@lockedair.com" TargetMode="External"/><Relationship Id="rId10" Type="http://schemas.openxmlformats.org/officeDocument/2006/relationships/hyperlink" Target="mailto:distributor_CN@lockedair.com" TargetMode="External"/><Relationship Id="rId1" Type="http://schemas.openxmlformats.org/officeDocument/2006/relationships/hyperlink" Target="mailto:admin@lockedair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28"/>
  <sheetViews>
    <sheetView zoomScale="115" zoomScaleNormal="115" topLeftCell="A7" workbookViewId="0">
      <selection activeCell="A23" sqref="A23"/>
    </sheetView>
  </sheetViews>
  <sheetFormatPr defaultColWidth="9" defaultRowHeight="16.8"/>
  <cols>
    <col min="1" max="1" width="100" customWidth="1"/>
  </cols>
  <sheetData>
    <row r="1" ht="23.2" spans="1:1">
      <c r="A1" s="35" t="s">
        <v>0</v>
      </c>
    </row>
    <row r="2" spans="1:1">
      <c r="A2" t="s">
        <v>1</v>
      </c>
    </row>
    <row r="3" spans="1:1">
      <c r="A3" s="36" t="s">
        <v>2</v>
      </c>
    </row>
    <row r="4" spans="1:1">
      <c r="A4" s="36" t="s">
        <v>3</v>
      </c>
    </row>
    <row r="5" spans="1:1">
      <c r="A5" s="36" t="s">
        <v>4</v>
      </c>
    </row>
    <row r="6" spans="1:1">
      <c r="A6" s="36" t="s">
        <v>5</v>
      </c>
    </row>
    <row r="7" spans="1:1">
      <c r="A7" s="36" t="s">
        <v>6</v>
      </c>
    </row>
    <row r="8" spans="1:1">
      <c r="A8" s="37" t="s">
        <v>7</v>
      </c>
    </row>
    <row r="9" spans="1:1">
      <c r="A9" s="37" t="s">
        <v>8</v>
      </c>
    </row>
    <row r="10" spans="1:1">
      <c r="A10" s="37" t="s">
        <v>9</v>
      </c>
    </row>
    <row r="11" spans="1:1">
      <c r="A11" s="37" t="s">
        <v>10</v>
      </c>
    </row>
    <row r="12" spans="1:1">
      <c r="A12" s="37" t="s">
        <v>11</v>
      </c>
    </row>
    <row r="13" spans="1:1">
      <c r="A13" s="37" t="s">
        <v>12</v>
      </c>
    </row>
    <row r="14" spans="1:1">
      <c r="A14" t="s">
        <v>1</v>
      </c>
    </row>
    <row r="15" spans="1:1">
      <c r="A15" s="36" t="s">
        <v>13</v>
      </c>
    </row>
    <row r="16" spans="1:1">
      <c r="A16" t="s">
        <v>1</v>
      </c>
    </row>
    <row r="17" spans="1:1">
      <c r="A17" t="s">
        <v>14</v>
      </c>
    </row>
    <row r="18" spans="1:1">
      <c r="A18" t="s">
        <v>1</v>
      </c>
    </row>
    <row r="19" spans="1:1">
      <c r="A19" t="s">
        <v>15</v>
      </c>
    </row>
    <row r="20" spans="1:1">
      <c r="A20" t="s">
        <v>1</v>
      </c>
    </row>
    <row r="21" spans="1:1">
      <c r="A21" t="s">
        <v>16</v>
      </c>
    </row>
    <row r="22" spans="1:1">
      <c r="A22" t="s">
        <v>17</v>
      </c>
    </row>
    <row r="23" spans="1:1">
      <c r="A23" t="s">
        <v>18</v>
      </c>
    </row>
    <row r="24" spans="1:1">
      <c r="A24" t="s">
        <v>19</v>
      </c>
    </row>
    <row r="25" spans="1:1">
      <c r="A25" t="s">
        <v>20</v>
      </c>
    </row>
    <row r="26" spans="1:1">
      <c r="A26" t="s">
        <v>21</v>
      </c>
    </row>
    <row r="27" spans="1:1">
      <c r="A27" t="s">
        <v>22</v>
      </c>
    </row>
    <row r="28" spans="1:1">
      <c r="A28" t="s">
        <v>23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Y50"/>
  <sheetViews>
    <sheetView zoomScale="85" zoomScaleNormal="85" workbookViewId="0">
      <selection activeCell="BA6" sqref="BA6"/>
    </sheetView>
  </sheetViews>
  <sheetFormatPr defaultColWidth="11.25" defaultRowHeight="16.8"/>
  <cols>
    <col min="1" max="1" width="11.25" style="1"/>
    <col min="2" max="2" width="11.625" style="1" customWidth="1"/>
    <col min="3" max="4" width="11.25" style="1"/>
    <col min="5" max="5" width="26.125" style="1" customWidth="1"/>
    <col min="6" max="6" width="28.25" style="1" customWidth="1"/>
    <col min="7" max="7" width="10.5" style="1" customWidth="1"/>
    <col min="8" max="8" width="15" style="1" customWidth="1"/>
    <col min="9" max="10" width="10.75" style="1" customWidth="1"/>
    <col min="11" max="16" width="11.25" style="1"/>
    <col min="17" max="18" width="13.25" style="1" customWidth="1"/>
    <col min="19" max="22" width="11.25" style="1"/>
    <col min="23" max="23" width="16.125" style="1" customWidth="1"/>
    <col min="24" max="28" width="11.25" style="1"/>
    <col min="29" max="29" width="25" style="1" customWidth="1"/>
    <col min="30" max="30" width="22.75" style="1" customWidth="1"/>
    <col min="31" max="33" width="11.25" style="1"/>
    <col min="34" max="34" width="15.75" style="1" customWidth="1"/>
    <col min="35" max="35" width="17" style="1" customWidth="1"/>
    <col min="36" max="36" width="12" style="1" customWidth="1"/>
    <col min="37" max="37" width="13.25" style="1" customWidth="1"/>
    <col min="38" max="38" width="11.25" style="1"/>
    <col min="39" max="39" width="15.75" style="1" customWidth="1"/>
    <col min="40" max="40" width="17" style="1" customWidth="1"/>
    <col min="41" max="41" width="12" style="1" customWidth="1"/>
    <col min="42" max="42" width="13.25" style="1" customWidth="1"/>
    <col min="43" max="43" width="11.25" style="1"/>
    <col min="44" max="44" width="15.75" style="1" customWidth="1"/>
    <col min="45" max="45" width="17" style="1" customWidth="1"/>
    <col min="46" max="46" width="12" style="1" customWidth="1"/>
    <col min="47" max="47" width="13.25" style="1" customWidth="1"/>
    <col min="48" max="48" width="14.5" style="21" customWidth="1"/>
    <col min="49" max="49" width="15.75" style="21" customWidth="1"/>
    <col min="50" max="50" width="10.5" style="1" customWidth="1"/>
    <col min="51" max="51" width="6.5" style="1" customWidth="1"/>
    <col min="52" max="16384" width="11.25" style="1"/>
  </cols>
  <sheetData>
    <row r="1" ht="34.75" spans="1:51">
      <c r="A1" s="2" t="s">
        <v>24</v>
      </c>
      <c r="B1" s="2" t="s">
        <v>25</v>
      </c>
      <c r="C1" s="2" t="s">
        <v>26</v>
      </c>
      <c r="D1" s="2" t="s">
        <v>27</v>
      </c>
      <c r="E1" s="2" t="s">
        <v>28</v>
      </c>
      <c r="F1" s="2" t="s">
        <v>29</v>
      </c>
      <c r="G1" s="2" t="s">
        <v>30</v>
      </c>
      <c r="H1" s="2" t="s">
        <v>31</v>
      </c>
      <c r="I1" s="2" t="s">
        <v>32</v>
      </c>
      <c r="J1" s="2" t="s">
        <v>33</v>
      </c>
      <c r="K1" s="2" t="s">
        <v>34</v>
      </c>
      <c r="L1" s="2" t="s">
        <v>35</v>
      </c>
      <c r="M1" s="2" t="s">
        <v>36</v>
      </c>
      <c r="N1" s="2" t="s">
        <v>37</v>
      </c>
      <c r="O1" s="2" t="s">
        <v>38</v>
      </c>
      <c r="P1" s="2" t="s">
        <v>39</v>
      </c>
      <c r="Q1" s="2" t="s">
        <v>40</v>
      </c>
      <c r="R1" s="2" t="s">
        <v>41</v>
      </c>
      <c r="S1" s="2" t="s">
        <v>42</v>
      </c>
      <c r="T1" s="2" t="s">
        <v>43</v>
      </c>
      <c r="U1" s="2" t="s">
        <v>44</v>
      </c>
      <c r="V1" s="2" t="s">
        <v>45</v>
      </c>
      <c r="W1" s="2" t="s">
        <v>46</v>
      </c>
      <c r="X1" s="2" t="s">
        <v>47</v>
      </c>
      <c r="Y1" s="2" t="s">
        <v>48</v>
      </c>
      <c r="Z1" s="2" t="s">
        <v>49</v>
      </c>
      <c r="AA1" s="2" t="s">
        <v>50</v>
      </c>
      <c r="AB1" s="2" t="s">
        <v>51</v>
      </c>
      <c r="AC1" s="2" t="s">
        <v>52</v>
      </c>
      <c r="AD1" s="31" t="s">
        <v>53</v>
      </c>
      <c r="AE1" s="2" t="s">
        <v>54</v>
      </c>
      <c r="AF1" s="2" t="s">
        <v>55</v>
      </c>
      <c r="AG1" s="2" t="s">
        <v>56</v>
      </c>
      <c r="AH1" s="2" t="s">
        <v>57</v>
      </c>
      <c r="AI1" s="2" t="s">
        <v>58</v>
      </c>
      <c r="AJ1" s="2" t="s">
        <v>59</v>
      </c>
      <c r="AK1" s="2" t="s">
        <v>60</v>
      </c>
      <c r="AL1" s="2" t="s">
        <v>61</v>
      </c>
      <c r="AM1" s="2" t="s">
        <v>62</v>
      </c>
      <c r="AN1" s="2" t="s">
        <v>63</v>
      </c>
      <c r="AO1" s="2" t="s">
        <v>64</v>
      </c>
      <c r="AP1" s="2" t="s">
        <v>65</v>
      </c>
      <c r="AQ1" s="2" t="s">
        <v>66</v>
      </c>
      <c r="AR1" s="2" t="s">
        <v>67</v>
      </c>
      <c r="AS1" s="2" t="s">
        <v>68</v>
      </c>
      <c r="AT1" s="2" t="s">
        <v>69</v>
      </c>
      <c r="AU1" s="2" t="s">
        <v>70</v>
      </c>
      <c r="AV1" s="2" t="s">
        <v>71</v>
      </c>
      <c r="AW1" s="2" t="s">
        <v>72</v>
      </c>
      <c r="AX1" s="2" t="s">
        <v>73</v>
      </c>
      <c r="AY1" s="2" t="s">
        <v>74</v>
      </c>
    </row>
    <row r="2" ht="51" spans="1:51">
      <c r="A2" s="4" t="s">
        <v>75</v>
      </c>
      <c r="B2" s="22" t="s">
        <v>76</v>
      </c>
      <c r="C2" s="18" t="s">
        <v>77</v>
      </c>
      <c r="D2" s="23" t="s">
        <v>78</v>
      </c>
      <c r="E2" s="18" t="s">
        <v>79</v>
      </c>
      <c r="F2" s="18" t="s">
        <v>80</v>
      </c>
      <c r="G2" s="27" t="s">
        <v>81</v>
      </c>
      <c r="H2" s="18" t="s">
        <v>82</v>
      </c>
      <c r="I2" s="18" t="s">
        <v>83</v>
      </c>
      <c r="J2" s="18" t="s">
        <v>84</v>
      </c>
      <c r="K2" s="22" t="s">
        <v>85</v>
      </c>
      <c r="L2" s="18">
        <v>0.5</v>
      </c>
      <c r="M2" s="22" t="s">
        <v>86</v>
      </c>
      <c r="N2" s="18">
        <v>8</v>
      </c>
      <c r="O2" s="22">
        <v>13</v>
      </c>
      <c r="P2" s="22">
        <v>5</v>
      </c>
      <c r="Q2" s="22"/>
      <c r="R2" s="22"/>
      <c r="S2" s="22">
        <v>1000</v>
      </c>
      <c r="T2" s="22">
        <v>3281</v>
      </c>
      <c r="U2" s="18" t="s">
        <v>87</v>
      </c>
      <c r="V2" s="18" t="s">
        <v>88</v>
      </c>
      <c r="W2" s="18" t="s">
        <v>89</v>
      </c>
      <c r="X2" s="29">
        <v>4.65</v>
      </c>
      <c r="Y2" s="30">
        <f>X2*2.20462262</f>
        <v>10.251495183</v>
      </c>
      <c r="Z2" s="29">
        <v>10.6407</v>
      </c>
      <c r="AA2" s="30">
        <v>23.458727912634</v>
      </c>
      <c r="AB2" s="22">
        <v>2</v>
      </c>
      <c r="AC2" s="32" t="s">
        <v>90</v>
      </c>
      <c r="AD2" s="32" t="s">
        <v>91</v>
      </c>
      <c r="AE2" s="18" t="s">
        <v>92</v>
      </c>
      <c r="AF2" s="18" t="s">
        <v>93</v>
      </c>
      <c r="AG2" s="22">
        <v>150</v>
      </c>
      <c r="AH2" s="29">
        <v>813.0525</v>
      </c>
      <c r="AI2" s="30">
        <v>1792.47393274755</v>
      </c>
      <c r="AJ2" s="22">
        <v>141</v>
      </c>
      <c r="AK2" s="30">
        <f>AJ2*0.393700787</f>
        <v>55.511810967</v>
      </c>
      <c r="AL2" s="22">
        <v>200</v>
      </c>
      <c r="AM2" s="30">
        <v>1079.07</v>
      </c>
      <c r="AN2" s="30">
        <v>2378.9421305634</v>
      </c>
      <c r="AO2" s="22">
        <v>185</v>
      </c>
      <c r="AP2" s="30">
        <f>AO2*0.393700787</f>
        <v>72.834645595</v>
      </c>
      <c r="AQ2" s="22">
        <v>100</v>
      </c>
      <c r="AR2" s="30">
        <v>547.035</v>
      </c>
      <c r="AS2" s="30">
        <v>1206.0057349317</v>
      </c>
      <c r="AT2" s="22">
        <v>100</v>
      </c>
      <c r="AU2" s="30">
        <f>AT2*0.393700787</f>
        <v>39.3700787</v>
      </c>
      <c r="AV2" s="34">
        <v>5.08</v>
      </c>
      <c r="AW2" s="34">
        <v>2</v>
      </c>
      <c r="AX2" s="4" t="s">
        <v>94</v>
      </c>
      <c r="AY2" s="4" t="s">
        <v>95</v>
      </c>
    </row>
    <row r="3" ht="34" spans="1:51">
      <c r="A3" s="4" t="s">
        <v>75</v>
      </c>
      <c r="B3" s="22" t="s">
        <v>96</v>
      </c>
      <c r="C3" s="18" t="s">
        <v>97</v>
      </c>
      <c r="D3" s="23" t="s">
        <v>98</v>
      </c>
      <c r="E3" s="18" t="s">
        <v>99</v>
      </c>
      <c r="F3" s="18" t="s">
        <v>100</v>
      </c>
      <c r="G3" s="27" t="s">
        <v>81</v>
      </c>
      <c r="H3" s="18" t="s">
        <v>82</v>
      </c>
      <c r="I3" s="18" t="s">
        <v>83</v>
      </c>
      <c r="J3" s="18" t="s">
        <v>101</v>
      </c>
      <c r="K3" s="22" t="s">
        <v>85</v>
      </c>
      <c r="L3" s="18">
        <v>0.5</v>
      </c>
      <c r="M3" s="22" t="s">
        <v>86</v>
      </c>
      <c r="N3" s="18">
        <v>8</v>
      </c>
      <c r="O3" s="22">
        <v>13</v>
      </c>
      <c r="P3" s="22">
        <v>5</v>
      </c>
      <c r="Q3" s="22"/>
      <c r="R3" s="22"/>
      <c r="S3" s="22">
        <v>1000</v>
      </c>
      <c r="T3" s="22">
        <v>3281</v>
      </c>
      <c r="U3" s="18"/>
      <c r="V3" s="18"/>
      <c r="W3" s="18"/>
      <c r="X3" s="29">
        <v>4.65</v>
      </c>
      <c r="Y3" s="30">
        <f t="shared" ref="Y3:Y49" si="0">X3*2.20462262</f>
        <v>10.251495183</v>
      </c>
      <c r="Z3" s="29">
        <v>5.1555</v>
      </c>
      <c r="AA3" s="30">
        <v>11.36593191741</v>
      </c>
      <c r="AB3" s="22"/>
      <c r="AC3" s="32" t="s">
        <v>90</v>
      </c>
      <c r="AD3" s="4" t="s">
        <v>1</v>
      </c>
      <c r="AE3" s="18" t="s">
        <v>92</v>
      </c>
      <c r="AF3" s="18" t="s">
        <v>93</v>
      </c>
      <c r="AG3" s="22">
        <v>150</v>
      </c>
      <c r="AH3" s="29">
        <v>798.325</v>
      </c>
      <c r="AI3" s="30">
        <v>1760.0053531115</v>
      </c>
      <c r="AJ3" s="22">
        <v>141</v>
      </c>
      <c r="AK3" s="30">
        <f t="shared" ref="AK3:AK49" si="1">AJ3*0.393700787</f>
        <v>55.511810967</v>
      </c>
      <c r="AL3" s="22">
        <v>200</v>
      </c>
      <c r="AM3" s="30">
        <v>1056.1</v>
      </c>
      <c r="AN3" s="30">
        <v>2328.301948982</v>
      </c>
      <c r="AO3" s="22">
        <v>185</v>
      </c>
      <c r="AP3" s="30">
        <f t="shared" ref="AP3:AP49" si="2">AO3*0.393700787</f>
        <v>72.834645595</v>
      </c>
      <c r="AQ3" s="22">
        <v>100</v>
      </c>
      <c r="AR3" s="30">
        <v>540.55</v>
      </c>
      <c r="AS3" s="30">
        <v>1191.708757241</v>
      </c>
      <c r="AT3" s="22">
        <v>100</v>
      </c>
      <c r="AU3" s="30">
        <f t="shared" ref="AU3:AU16" si="3">AT3*0.393700787</f>
        <v>39.3700787</v>
      </c>
      <c r="AV3" s="34">
        <v>5.08</v>
      </c>
      <c r="AW3" s="34">
        <v>2</v>
      </c>
      <c r="AX3" s="4" t="s">
        <v>94</v>
      </c>
      <c r="AY3" s="4" t="s">
        <v>95</v>
      </c>
    </row>
    <row r="4" ht="34" spans="1:51">
      <c r="A4" s="4" t="s">
        <v>75</v>
      </c>
      <c r="B4" s="22" t="s">
        <v>102</v>
      </c>
      <c r="C4" s="18" t="s">
        <v>103</v>
      </c>
      <c r="D4" s="23" t="s">
        <v>104</v>
      </c>
      <c r="E4" s="18" t="s">
        <v>105</v>
      </c>
      <c r="F4" s="18" t="s">
        <v>106</v>
      </c>
      <c r="G4" s="27" t="s">
        <v>81</v>
      </c>
      <c r="H4" s="18" t="s">
        <v>82</v>
      </c>
      <c r="I4" s="18" t="s">
        <v>83</v>
      </c>
      <c r="J4" s="18" t="s">
        <v>101</v>
      </c>
      <c r="K4" s="22" t="s">
        <v>85</v>
      </c>
      <c r="L4" s="18">
        <v>0.5</v>
      </c>
      <c r="M4" s="22" t="s">
        <v>86</v>
      </c>
      <c r="N4" s="18">
        <v>8</v>
      </c>
      <c r="O4" s="22">
        <v>20</v>
      </c>
      <c r="P4" s="22">
        <v>8</v>
      </c>
      <c r="Q4" s="22"/>
      <c r="R4" s="22"/>
      <c r="S4" s="22">
        <v>1000</v>
      </c>
      <c r="T4" s="22">
        <v>3281</v>
      </c>
      <c r="U4" s="18"/>
      <c r="V4" s="18"/>
      <c r="W4" s="18"/>
      <c r="X4" s="29">
        <v>4.65</v>
      </c>
      <c r="Y4" s="30">
        <f t="shared" si="0"/>
        <v>10.251495183</v>
      </c>
      <c r="Z4" s="29">
        <v>5.1555</v>
      </c>
      <c r="AA4" s="30">
        <v>11.36593191741</v>
      </c>
      <c r="AB4" s="22"/>
      <c r="AC4" s="32" t="s">
        <v>90</v>
      </c>
      <c r="AD4" s="4" t="s">
        <v>1</v>
      </c>
      <c r="AE4" s="18" t="s">
        <v>107</v>
      </c>
      <c r="AF4" s="18" t="s">
        <v>93</v>
      </c>
      <c r="AG4" s="22">
        <v>150</v>
      </c>
      <c r="AH4" s="29">
        <v>798.325</v>
      </c>
      <c r="AI4" s="30">
        <v>1760.0053531115</v>
      </c>
      <c r="AJ4" s="22">
        <v>141</v>
      </c>
      <c r="AK4" s="30">
        <f t="shared" si="1"/>
        <v>55.511810967</v>
      </c>
      <c r="AL4" s="22">
        <v>200</v>
      </c>
      <c r="AM4" s="30">
        <v>1056.1</v>
      </c>
      <c r="AN4" s="30">
        <v>2328.301948982</v>
      </c>
      <c r="AO4" s="22">
        <v>183</v>
      </c>
      <c r="AP4" s="30">
        <f t="shared" si="2"/>
        <v>72.047244021</v>
      </c>
      <c r="AQ4" s="22">
        <v>100</v>
      </c>
      <c r="AR4" s="30">
        <v>540.55</v>
      </c>
      <c r="AS4" s="30">
        <v>1191.708757241</v>
      </c>
      <c r="AT4" s="22">
        <v>100</v>
      </c>
      <c r="AU4" s="30">
        <f t="shared" si="3"/>
        <v>39.3700787</v>
      </c>
      <c r="AV4" s="34">
        <v>5.08</v>
      </c>
      <c r="AW4" s="34">
        <v>2</v>
      </c>
      <c r="AX4" s="4" t="s">
        <v>94</v>
      </c>
      <c r="AY4" s="4" t="s">
        <v>95</v>
      </c>
    </row>
    <row r="5" ht="51" spans="1:51">
      <c r="A5" s="4" t="s">
        <v>75</v>
      </c>
      <c r="B5" s="22" t="s">
        <v>108</v>
      </c>
      <c r="C5" s="18" t="s">
        <v>109</v>
      </c>
      <c r="D5" s="23" t="s">
        <v>110</v>
      </c>
      <c r="E5" s="18" t="s">
        <v>111</v>
      </c>
      <c r="F5" s="18" t="s">
        <v>112</v>
      </c>
      <c r="G5" s="27" t="s">
        <v>81</v>
      </c>
      <c r="H5" s="18" t="s">
        <v>82</v>
      </c>
      <c r="I5" s="18" t="s">
        <v>83</v>
      </c>
      <c r="J5" s="18" t="s">
        <v>113</v>
      </c>
      <c r="K5" s="22" t="s">
        <v>114</v>
      </c>
      <c r="L5" s="18">
        <v>0.6</v>
      </c>
      <c r="M5" s="22" t="s">
        <v>86</v>
      </c>
      <c r="N5" s="18">
        <v>8</v>
      </c>
      <c r="O5" s="22">
        <v>13</v>
      </c>
      <c r="P5" s="22">
        <v>5</v>
      </c>
      <c r="Q5" s="22"/>
      <c r="R5" s="22"/>
      <c r="S5" s="22">
        <v>800</v>
      </c>
      <c r="T5" s="22">
        <v>2625</v>
      </c>
      <c r="U5" s="18" t="s">
        <v>87</v>
      </c>
      <c r="V5" s="18" t="s">
        <v>88</v>
      </c>
      <c r="W5" s="18" t="s">
        <v>89</v>
      </c>
      <c r="X5" s="29">
        <v>4.464</v>
      </c>
      <c r="Y5" s="30">
        <f t="shared" si="0"/>
        <v>9.84143537568</v>
      </c>
      <c r="Z5" s="29">
        <v>10.2501</v>
      </c>
      <c r="AA5" s="30">
        <v>22.597602317262</v>
      </c>
      <c r="AB5" s="22">
        <v>2</v>
      </c>
      <c r="AC5" s="32" t="s">
        <v>90</v>
      </c>
      <c r="AD5" s="32" t="s">
        <v>91</v>
      </c>
      <c r="AE5" s="18" t="s">
        <v>92</v>
      </c>
      <c r="AF5" s="18" t="s">
        <v>93</v>
      </c>
      <c r="AG5" s="22">
        <v>150</v>
      </c>
      <c r="AH5" s="29">
        <v>783.7575</v>
      </c>
      <c r="AI5" s="30">
        <v>1727.88951309465</v>
      </c>
      <c r="AJ5" s="22">
        <v>141</v>
      </c>
      <c r="AK5" s="30">
        <f t="shared" si="1"/>
        <v>55.511810967</v>
      </c>
      <c r="AL5" s="22">
        <v>200</v>
      </c>
      <c r="AM5" s="30">
        <v>1040.01</v>
      </c>
      <c r="AN5" s="30">
        <v>2292.8295710262</v>
      </c>
      <c r="AO5" s="22">
        <v>185</v>
      </c>
      <c r="AP5" s="30">
        <f t="shared" si="2"/>
        <v>72.834645595</v>
      </c>
      <c r="AQ5" s="22">
        <v>100</v>
      </c>
      <c r="AR5" s="30">
        <v>527.505</v>
      </c>
      <c r="AS5" s="30">
        <v>1162.9494551631</v>
      </c>
      <c r="AT5" s="22">
        <v>100</v>
      </c>
      <c r="AU5" s="30">
        <f t="shared" si="3"/>
        <v>39.3700787</v>
      </c>
      <c r="AV5" s="34">
        <v>5.08</v>
      </c>
      <c r="AW5" s="34">
        <v>2</v>
      </c>
      <c r="AX5" s="4" t="s">
        <v>94</v>
      </c>
      <c r="AY5" s="4" t="s">
        <v>95</v>
      </c>
    </row>
    <row r="6" ht="51" spans="1:51">
      <c r="A6" s="4" t="s">
        <v>75</v>
      </c>
      <c r="B6" s="22" t="s">
        <v>115</v>
      </c>
      <c r="C6" s="18" t="s">
        <v>116</v>
      </c>
      <c r="D6" s="23" t="s">
        <v>117</v>
      </c>
      <c r="E6" s="18" t="s">
        <v>118</v>
      </c>
      <c r="F6" s="18" t="s">
        <v>119</v>
      </c>
      <c r="G6" s="27" t="s">
        <v>81</v>
      </c>
      <c r="H6" s="18" t="s">
        <v>82</v>
      </c>
      <c r="I6" s="18" t="s">
        <v>83</v>
      </c>
      <c r="J6" s="18" t="s">
        <v>113</v>
      </c>
      <c r="K6" s="22" t="s">
        <v>114</v>
      </c>
      <c r="L6" s="18">
        <v>0.6</v>
      </c>
      <c r="M6" s="22" t="s">
        <v>86</v>
      </c>
      <c r="N6" s="18">
        <v>8</v>
      </c>
      <c r="O6" s="22">
        <v>20</v>
      </c>
      <c r="P6" s="22">
        <v>8</v>
      </c>
      <c r="Q6" s="22"/>
      <c r="R6" s="22"/>
      <c r="S6" s="22">
        <v>800</v>
      </c>
      <c r="T6" s="22">
        <v>2625</v>
      </c>
      <c r="U6" s="18" t="s">
        <v>87</v>
      </c>
      <c r="V6" s="18" t="s">
        <v>88</v>
      </c>
      <c r="W6" s="18" t="s">
        <v>89</v>
      </c>
      <c r="X6" s="29">
        <v>4.464</v>
      </c>
      <c r="Y6" s="30">
        <f t="shared" si="0"/>
        <v>9.84143537568</v>
      </c>
      <c r="Z6" s="29">
        <v>10.2501</v>
      </c>
      <c r="AA6" s="30">
        <v>22.597602317262</v>
      </c>
      <c r="AB6" s="22">
        <v>2</v>
      </c>
      <c r="AC6" s="32" t="s">
        <v>90</v>
      </c>
      <c r="AD6" s="32" t="s">
        <v>91</v>
      </c>
      <c r="AE6" s="18" t="s">
        <v>92</v>
      </c>
      <c r="AF6" s="18" t="s">
        <v>93</v>
      </c>
      <c r="AG6" s="22">
        <v>150</v>
      </c>
      <c r="AH6" s="29">
        <v>783.7575</v>
      </c>
      <c r="AI6" s="30">
        <v>1727.88951309465</v>
      </c>
      <c r="AJ6" s="22">
        <v>141</v>
      </c>
      <c r="AK6" s="30">
        <f t="shared" si="1"/>
        <v>55.511810967</v>
      </c>
      <c r="AL6" s="22">
        <v>200</v>
      </c>
      <c r="AM6" s="30">
        <v>1040.01</v>
      </c>
      <c r="AN6" s="30">
        <v>2292.8295710262</v>
      </c>
      <c r="AO6" s="22">
        <v>185</v>
      </c>
      <c r="AP6" s="30">
        <f t="shared" si="2"/>
        <v>72.834645595</v>
      </c>
      <c r="AQ6" s="22">
        <v>100</v>
      </c>
      <c r="AR6" s="30">
        <v>527.505</v>
      </c>
      <c r="AS6" s="30">
        <v>1162.9494551631</v>
      </c>
      <c r="AT6" s="22">
        <v>100</v>
      </c>
      <c r="AU6" s="30">
        <f t="shared" si="3"/>
        <v>39.3700787</v>
      </c>
      <c r="AV6" s="34">
        <v>5.08</v>
      </c>
      <c r="AW6" s="34">
        <v>2</v>
      </c>
      <c r="AX6" s="4" t="s">
        <v>94</v>
      </c>
      <c r="AY6" s="4" t="s">
        <v>95</v>
      </c>
    </row>
    <row r="7" ht="51" spans="1:51">
      <c r="A7" s="4" t="s">
        <v>75</v>
      </c>
      <c r="B7" s="22" t="s">
        <v>120</v>
      </c>
      <c r="C7" s="18" t="s">
        <v>121</v>
      </c>
      <c r="D7" s="24" t="s">
        <v>122</v>
      </c>
      <c r="E7" s="18" t="s">
        <v>123</v>
      </c>
      <c r="F7" s="18" t="s">
        <v>124</v>
      </c>
      <c r="G7" s="27" t="s">
        <v>81</v>
      </c>
      <c r="H7" s="18" t="s">
        <v>82</v>
      </c>
      <c r="I7" s="18" t="s">
        <v>83</v>
      </c>
      <c r="J7" s="18" t="s">
        <v>113</v>
      </c>
      <c r="K7" s="22" t="s">
        <v>125</v>
      </c>
      <c r="L7" s="18">
        <v>0.7</v>
      </c>
      <c r="M7" s="22" t="s">
        <v>86</v>
      </c>
      <c r="N7" s="18">
        <v>8</v>
      </c>
      <c r="O7" s="22">
        <v>12</v>
      </c>
      <c r="P7" s="22">
        <v>4.7</v>
      </c>
      <c r="Q7" s="22"/>
      <c r="R7" s="22"/>
      <c r="S7" s="22">
        <v>700</v>
      </c>
      <c r="T7" s="22">
        <v>2296</v>
      </c>
      <c r="U7" s="18" t="s">
        <v>87</v>
      </c>
      <c r="V7" s="18" t="s">
        <v>88</v>
      </c>
      <c r="W7" s="18" t="s">
        <v>89</v>
      </c>
      <c r="X7" s="29">
        <v>4.426</v>
      </c>
      <c r="Y7" s="30">
        <f t="shared" si="0"/>
        <v>9.75765971612</v>
      </c>
      <c r="Z7" s="29">
        <v>10.1703</v>
      </c>
      <c r="AA7" s="30">
        <v>22.421673432186</v>
      </c>
      <c r="AB7" s="22">
        <v>2</v>
      </c>
      <c r="AC7" s="32" t="s">
        <v>90</v>
      </c>
      <c r="AD7" s="32" t="s">
        <v>91</v>
      </c>
      <c r="AE7" s="18" t="s">
        <v>92</v>
      </c>
      <c r="AF7" s="18" t="s">
        <v>93</v>
      </c>
      <c r="AG7" s="22">
        <v>150</v>
      </c>
      <c r="AH7" s="29">
        <v>777.7725</v>
      </c>
      <c r="AI7" s="30">
        <v>1714.69484671395</v>
      </c>
      <c r="AJ7" s="22">
        <v>141</v>
      </c>
      <c r="AK7" s="30">
        <f t="shared" si="1"/>
        <v>55.511810967</v>
      </c>
      <c r="AL7" s="22">
        <v>200</v>
      </c>
      <c r="AM7" s="30">
        <v>1032.03</v>
      </c>
      <c r="AN7" s="30">
        <v>2275.2366825186</v>
      </c>
      <c r="AO7" s="22">
        <v>185</v>
      </c>
      <c r="AP7" s="30">
        <f t="shared" si="2"/>
        <v>72.834645595</v>
      </c>
      <c r="AQ7" s="22">
        <v>100</v>
      </c>
      <c r="AR7" s="30">
        <v>523.515</v>
      </c>
      <c r="AS7" s="30">
        <v>1154.1530109093</v>
      </c>
      <c r="AT7" s="22">
        <v>100</v>
      </c>
      <c r="AU7" s="30">
        <f t="shared" si="3"/>
        <v>39.3700787</v>
      </c>
      <c r="AV7" s="34">
        <v>5.08</v>
      </c>
      <c r="AW7" s="34">
        <v>2</v>
      </c>
      <c r="AX7" s="4" t="s">
        <v>94</v>
      </c>
      <c r="AY7" s="4" t="s">
        <v>95</v>
      </c>
    </row>
    <row r="8" ht="51" spans="1:51">
      <c r="A8" s="4" t="s">
        <v>75</v>
      </c>
      <c r="B8" s="22" t="s">
        <v>126</v>
      </c>
      <c r="C8" s="18" t="s">
        <v>127</v>
      </c>
      <c r="D8" s="24" t="s">
        <v>128</v>
      </c>
      <c r="E8" s="18" t="s">
        <v>129</v>
      </c>
      <c r="F8" s="18" t="s">
        <v>130</v>
      </c>
      <c r="G8" s="27" t="s">
        <v>81</v>
      </c>
      <c r="H8" s="18" t="s">
        <v>82</v>
      </c>
      <c r="I8" s="18" t="s">
        <v>83</v>
      </c>
      <c r="J8" s="18" t="s">
        <v>113</v>
      </c>
      <c r="K8" s="22" t="s">
        <v>125</v>
      </c>
      <c r="L8" s="18">
        <v>0.7</v>
      </c>
      <c r="M8" s="22" t="s">
        <v>86</v>
      </c>
      <c r="N8" s="18">
        <v>8</v>
      </c>
      <c r="O8" s="22">
        <v>17.5</v>
      </c>
      <c r="P8" s="22">
        <v>6.9</v>
      </c>
      <c r="Q8" s="22"/>
      <c r="R8" s="22"/>
      <c r="S8" s="22">
        <v>700</v>
      </c>
      <c r="T8" s="22">
        <v>2296</v>
      </c>
      <c r="U8" s="18" t="s">
        <v>87</v>
      </c>
      <c r="V8" s="18" t="s">
        <v>88</v>
      </c>
      <c r="W8" s="18" t="s">
        <v>89</v>
      </c>
      <c r="X8" s="29">
        <v>4.426</v>
      </c>
      <c r="Y8" s="30">
        <f t="shared" si="0"/>
        <v>9.75765971612</v>
      </c>
      <c r="Z8" s="29">
        <v>10.1703</v>
      </c>
      <c r="AA8" s="30">
        <v>22.421673432186</v>
      </c>
      <c r="AB8" s="22">
        <v>2</v>
      </c>
      <c r="AC8" s="32" t="s">
        <v>90</v>
      </c>
      <c r="AD8" s="32" t="s">
        <v>91</v>
      </c>
      <c r="AE8" s="18" t="s">
        <v>92</v>
      </c>
      <c r="AF8" s="18" t="s">
        <v>93</v>
      </c>
      <c r="AG8" s="22">
        <v>150</v>
      </c>
      <c r="AH8" s="29">
        <v>777.7725</v>
      </c>
      <c r="AI8" s="30">
        <v>1714.69484671395</v>
      </c>
      <c r="AJ8" s="22">
        <v>141</v>
      </c>
      <c r="AK8" s="30">
        <f t="shared" si="1"/>
        <v>55.511810967</v>
      </c>
      <c r="AL8" s="22">
        <v>200</v>
      </c>
      <c r="AM8" s="30">
        <v>1032.03</v>
      </c>
      <c r="AN8" s="30">
        <v>2275.2366825186</v>
      </c>
      <c r="AO8" s="22">
        <v>185</v>
      </c>
      <c r="AP8" s="30">
        <f t="shared" si="2"/>
        <v>72.834645595</v>
      </c>
      <c r="AQ8" s="22">
        <v>100</v>
      </c>
      <c r="AR8" s="30">
        <v>523.515</v>
      </c>
      <c r="AS8" s="30">
        <v>1154.1530109093</v>
      </c>
      <c r="AT8" s="22">
        <v>100</v>
      </c>
      <c r="AU8" s="30">
        <f t="shared" si="3"/>
        <v>39.3700787</v>
      </c>
      <c r="AV8" s="34">
        <v>5.08</v>
      </c>
      <c r="AW8" s="34">
        <v>2</v>
      </c>
      <c r="AX8" s="4" t="s">
        <v>94</v>
      </c>
      <c r="AY8" s="4" t="s">
        <v>95</v>
      </c>
    </row>
    <row r="9" ht="51" spans="1:51">
      <c r="A9" s="4" t="s">
        <v>75</v>
      </c>
      <c r="B9" s="22" t="s">
        <v>131</v>
      </c>
      <c r="C9" s="18" t="s">
        <v>132</v>
      </c>
      <c r="D9" s="23" t="s">
        <v>133</v>
      </c>
      <c r="E9" s="18" t="s">
        <v>134</v>
      </c>
      <c r="F9" s="18" t="s">
        <v>135</v>
      </c>
      <c r="G9" s="27" t="s">
        <v>81</v>
      </c>
      <c r="H9" s="18" t="s">
        <v>82</v>
      </c>
      <c r="I9" s="18" t="s">
        <v>83</v>
      </c>
      <c r="J9" s="18" t="s">
        <v>113</v>
      </c>
      <c r="K9" s="22" t="s">
        <v>86</v>
      </c>
      <c r="L9" s="18">
        <v>0.8</v>
      </c>
      <c r="M9" s="22" t="s">
        <v>86</v>
      </c>
      <c r="N9" s="18">
        <v>8</v>
      </c>
      <c r="O9" s="22">
        <v>13</v>
      </c>
      <c r="P9" s="22">
        <v>5</v>
      </c>
      <c r="Q9" s="22"/>
      <c r="R9" s="22"/>
      <c r="S9" s="22">
        <v>700</v>
      </c>
      <c r="T9" s="22">
        <v>2296</v>
      </c>
      <c r="U9" s="18" t="s">
        <v>87</v>
      </c>
      <c r="V9" s="18" t="s">
        <v>88</v>
      </c>
      <c r="W9" s="18" t="s">
        <v>89</v>
      </c>
      <c r="X9" s="29">
        <v>5.208</v>
      </c>
      <c r="Y9" s="30">
        <f t="shared" si="0"/>
        <v>11.48167460496</v>
      </c>
      <c r="Z9" s="29">
        <v>11.8125</v>
      </c>
      <c r="AA9" s="30">
        <v>26.04210469875</v>
      </c>
      <c r="AB9" s="22">
        <v>2</v>
      </c>
      <c r="AC9" s="32" t="s">
        <v>90</v>
      </c>
      <c r="AD9" s="32" t="s">
        <v>91</v>
      </c>
      <c r="AE9" s="18" t="s">
        <v>92</v>
      </c>
      <c r="AF9" s="18" t="s">
        <v>93</v>
      </c>
      <c r="AG9" s="22">
        <v>150</v>
      </c>
      <c r="AH9" s="29">
        <v>900.9375</v>
      </c>
      <c r="AI9" s="30">
        <v>1986.22719170625</v>
      </c>
      <c r="AJ9" s="22">
        <v>141</v>
      </c>
      <c r="AK9" s="30">
        <f t="shared" si="1"/>
        <v>55.511810967</v>
      </c>
      <c r="AL9" s="22">
        <v>200</v>
      </c>
      <c r="AM9" s="30">
        <v>1196.25</v>
      </c>
      <c r="AN9" s="30">
        <v>2637.279809175</v>
      </c>
      <c r="AO9" s="22">
        <v>185</v>
      </c>
      <c r="AP9" s="30">
        <f t="shared" si="2"/>
        <v>72.834645595</v>
      </c>
      <c r="AQ9" s="22">
        <v>100</v>
      </c>
      <c r="AR9" s="30">
        <v>605.625</v>
      </c>
      <c r="AS9" s="30">
        <v>1335.1745742375</v>
      </c>
      <c r="AT9" s="22">
        <v>100</v>
      </c>
      <c r="AU9" s="30">
        <f t="shared" si="3"/>
        <v>39.3700787</v>
      </c>
      <c r="AV9" s="34">
        <v>5.08</v>
      </c>
      <c r="AW9" s="34">
        <v>2</v>
      </c>
      <c r="AX9" s="4" t="s">
        <v>94</v>
      </c>
      <c r="AY9" s="4" t="s">
        <v>95</v>
      </c>
    </row>
    <row r="10" ht="34" spans="1:51">
      <c r="A10" s="4" t="s">
        <v>75</v>
      </c>
      <c r="B10" s="22" t="s">
        <v>136</v>
      </c>
      <c r="C10" s="18" t="s">
        <v>137</v>
      </c>
      <c r="D10" s="23" t="s">
        <v>138</v>
      </c>
      <c r="E10" s="18" t="s">
        <v>139</v>
      </c>
      <c r="F10" s="18" t="s">
        <v>140</v>
      </c>
      <c r="G10" s="27" t="s">
        <v>81</v>
      </c>
      <c r="H10" s="18" t="s">
        <v>82</v>
      </c>
      <c r="I10" s="18" t="s">
        <v>83</v>
      </c>
      <c r="J10" s="18" t="s">
        <v>101</v>
      </c>
      <c r="K10" s="22" t="s">
        <v>86</v>
      </c>
      <c r="L10" s="18">
        <v>0.8</v>
      </c>
      <c r="M10" s="22" t="s">
        <v>86</v>
      </c>
      <c r="N10" s="18">
        <v>8</v>
      </c>
      <c r="O10" s="22">
        <v>10</v>
      </c>
      <c r="P10" s="22">
        <v>4</v>
      </c>
      <c r="Q10" s="22"/>
      <c r="R10" s="22"/>
      <c r="S10" s="22">
        <v>700</v>
      </c>
      <c r="T10" s="22">
        <v>2296</v>
      </c>
      <c r="U10" s="18" t="s">
        <v>87</v>
      </c>
      <c r="V10" s="18" t="s">
        <v>88</v>
      </c>
      <c r="W10" s="18" t="s">
        <v>89</v>
      </c>
      <c r="X10" s="29">
        <v>5.208</v>
      </c>
      <c r="Y10" s="30">
        <f t="shared" si="0"/>
        <v>11.48167460496</v>
      </c>
      <c r="Z10" s="29">
        <v>11.8125</v>
      </c>
      <c r="AA10" s="30">
        <v>26.04210469875</v>
      </c>
      <c r="AB10" s="22">
        <v>2</v>
      </c>
      <c r="AC10" s="32" t="s">
        <v>90</v>
      </c>
      <c r="AD10" s="32" t="s">
        <v>91</v>
      </c>
      <c r="AE10" s="18" t="s">
        <v>92</v>
      </c>
      <c r="AF10" s="18" t="s">
        <v>93</v>
      </c>
      <c r="AG10" s="22">
        <v>150</v>
      </c>
      <c r="AH10" s="29">
        <v>900.9375</v>
      </c>
      <c r="AI10" s="30">
        <v>1986.22719170625</v>
      </c>
      <c r="AJ10" s="22">
        <v>141</v>
      </c>
      <c r="AK10" s="30">
        <f t="shared" si="1"/>
        <v>55.511810967</v>
      </c>
      <c r="AL10" s="22">
        <v>200</v>
      </c>
      <c r="AM10" s="30">
        <v>1196.25</v>
      </c>
      <c r="AN10" s="30">
        <v>2637.279809175</v>
      </c>
      <c r="AO10" s="22">
        <v>185</v>
      </c>
      <c r="AP10" s="30">
        <f t="shared" si="2"/>
        <v>72.834645595</v>
      </c>
      <c r="AQ10" s="22">
        <v>100</v>
      </c>
      <c r="AR10" s="30">
        <v>605.625</v>
      </c>
      <c r="AS10" s="30">
        <v>1335.1745742375</v>
      </c>
      <c r="AT10" s="22">
        <v>100</v>
      </c>
      <c r="AU10" s="30">
        <f t="shared" si="3"/>
        <v>39.3700787</v>
      </c>
      <c r="AV10" s="34">
        <v>5.08</v>
      </c>
      <c r="AW10" s="34">
        <v>2</v>
      </c>
      <c r="AX10" s="4" t="s">
        <v>94</v>
      </c>
      <c r="AY10" s="4" t="s">
        <v>95</v>
      </c>
    </row>
    <row r="11" ht="34" spans="1:51">
      <c r="A11" s="4" t="s">
        <v>75</v>
      </c>
      <c r="B11" s="22" t="s">
        <v>141</v>
      </c>
      <c r="C11" s="18" t="s">
        <v>142</v>
      </c>
      <c r="D11" s="23" t="s">
        <v>143</v>
      </c>
      <c r="E11" s="18" t="s">
        <v>144</v>
      </c>
      <c r="F11" s="18" t="s">
        <v>145</v>
      </c>
      <c r="G11" s="27" t="s">
        <v>81</v>
      </c>
      <c r="H11" s="18" t="s">
        <v>82</v>
      </c>
      <c r="I11" s="18" t="s">
        <v>83</v>
      </c>
      <c r="J11" s="18" t="s">
        <v>101</v>
      </c>
      <c r="K11" s="22" t="s">
        <v>86</v>
      </c>
      <c r="L11" s="18">
        <v>0.8</v>
      </c>
      <c r="M11" s="22" t="s">
        <v>86</v>
      </c>
      <c r="N11" s="18">
        <v>8</v>
      </c>
      <c r="O11" s="22">
        <v>13</v>
      </c>
      <c r="P11" s="22">
        <v>5</v>
      </c>
      <c r="Q11" s="22"/>
      <c r="R11" s="22"/>
      <c r="S11" s="22">
        <v>700</v>
      </c>
      <c r="T11" s="22">
        <v>2296</v>
      </c>
      <c r="U11" s="18"/>
      <c r="V11" s="18"/>
      <c r="W11" s="18"/>
      <c r="X11" s="29">
        <v>5.208</v>
      </c>
      <c r="Y11" s="30">
        <f t="shared" si="0"/>
        <v>11.48167460496</v>
      </c>
      <c r="Z11" s="29">
        <v>5.7414</v>
      </c>
      <c r="AA11" s="30">
        <v>12.657620310468</v>
      </c>
      <c r="AB11" s="22"/>
      <c r="AC11" s="32" t="s">
        <v>90</v>
      </c>
      <c r="AD11" s="4"/>
      <c r="AE11" s="18" t="s">
        <v>146</v>
      </c>
      <c r="AF11" s="18" t="s">
        <v>147</v>
      </c>
      <c r="AG11" s="22">
        <v>150</v>
      </c>
      <c r="AH11" s="29">
        <v>886.21</v>
      </c>
      <c r="AI11" s="30">
        <v>1953.7586120702</v>
      </c>
      <c r="AJ11" s="22">
        <v>141</v>
      </c>
      <c r="AK11" s="30">
        <f t="shared" si="1"/>
        <v>55.511810967</v>
      </c>
      <c r="AL11" s="22">
        <v>200</v>
      </c>
      <c r="AM11" s="30">
        <v>1173.28</v>
      </c>
      <c r="AN11" s="30">
        <v>2586.6396275936</v>
      </c>
      <c r="AO11" s="22">
        <v>183</v>
      </c>
      <c r="AP11" s="30">
        <f t="shared" si="2"/>
        <v>72.047244021</v>
      </c>
      <c r="AQ11" s="22">
        <v>100</v>
      </c>
      <c r="AR11" s="30">
        <v>599.14</v>
      </c>
      <c r="AS11" s="30">
        <v>1320.8775965468</v>
      </c>
      <c r="AT11" s="22">
        <v>100</v>
      </c>
      <c r="AU11" s="30">
        <f t="shared" si="3"/>
        <v>39.3700787</v>
      </c>
      <c r="AV11" s="34">
        <v>5.08</v>
      </c>
      <c r="AW11" s="34">
        <v>2</v>
      </c>
      <c r="AX11" s="4" t="s">
        <v>94</v>
      </c>
      <c r="AY11" s="4" t="s">
        <v>95</v>
      </c>
    </row>
    <row r="12" ht="34" spans="1:51">
      <c r="A12" s="4" t="s">
        <v>75</v>
      </c>
      <c r="B12" s="22" t="s">
        <v>148</v>
      </c>
      <c r="C12" s="18" t="s">
        <v>149</v>
      </c>
      <c r="D12" s="23" t="s">
        <v>150</v>
      </c>
      <c r="E12" s="18" t="s">
        <v>151</v>
      </c>
      <c r="F12" s="18" t="s">
        <v>152</v>
      </c>
      <c r="G12" s="27" t="s">
        <v>81</v>
      </c>
      <c r="H12" s="18" t="s">
        <v>82</v>
      </c>
      <c r="I12" s="18" t="s">
        <v>83</v>
      </c>
      <c r="J12" s="18" t="s">
        <v>101</v>
      </c>
      <c r="K12" s="22" t="s">
        <v>86</v>
      </c>
      <c r="L12" s="18">
        <v>0.8</v>
      </c>
      <c r="M12" s="22" t="s">
        <v>86</v>
      </c>
      <c r="N12" s="18">
        <v>8</v>
      </c>
      <c r="O12" s="22">
        <v>20</v>
      </c>
      <c r="P12" s="22">
        <v>8</v>
      </c>
      <c r="Q12" s="22"/>
      <c r="R12" s="22"/>
      <c r="S12" s="22">
        <v>700</v>
      </c>
      <c r="T12" s="22">
        <v>2296</v>
      </c>
      <c r="U12" s="18"/>
      <c r="V12" s="18"/>
      <c r="W12" s="18"/>
      <c r="X12" s="29">
        <v>5.208</v>
      </c>
      <c r="Y12" s="30">
        <f t="shared" si="0"/>
        <v>11.48167460496</v>
      </c>
      <c r="Z12" s="29">
        <v>5.7414</v>
      </c>
      <c r="AA12" s="30">
        <v>12.657620310468</v>
      </c>
      <c r="AB12" s="22"/>
      <c r="AC12" s="32" t="s">
        <v>90</v>
      </c>
      <c r="AD12" s="4"/>
      <c r="AE12" s="18" t="s">
        <v>146</v>
      </c>
      <c r="AF12" s="18" t="s">
        <v>147</v>
      </c>
      <c r="AG12" s="22">
        <v>150</v>
      </c>
      <c r="AH12" s="29">
        <v>886.21</v>
      </c>
      <c r="AI12" s="30">
        <v>1953.7586120702</v>
      </c>
      <c r="AJ12" s="22">
        <v>141</v>
      </c>
      <c r="AK12" s="30">
        <f t="shared" si="1"/>
        <v>55.511810967</v>
      </c>
      <c r="AL12" s="22">
        <v>200</v>
      </c>
      <c r="AM12" s="30">
        <v>1173.28</v>
      </c>
      <c r="AN12" s="30">
        <v>2586.6396275936</v>
      </c>
      <c r="AO12" s="22">
        <v>183</v>
      </c>
      <c r="AP12" s="30">
        <f t="shared" si="2"/>
        <v>72.047244021</v>
      </c>
      <c r="AQ12" s="22">
        <v>100</v>
      </c>
      <c r="AR12" s="30">
        <v>599.14</v>
      </c>
      <c r="AS12" s="30">
        <v>1320.8775965468</v>
      </c>
      <c r="AT12" s="22">
        <v>100</v>
      </c>
      <c r="AU12" s="30">
        <f t="shared" si="3"/>
        <v>39.3700787</v>
      </c>
      <c r="AV12" s="34">
        <v>5.08</v>
      </c>
      <c r="AW12" s="34">
        <v>2</v>
      </c>
      <c r="AX12" s="4" t="s">
        <v>94</v>
      </c>
      <c r="AY12" s="4" t="s">
        <v>95</v>
      </c>
    </row>
    <row r="13" ht="51" spans="1:51">
      <c r="A13" s="4" t="s">
        <v>75</v>
      </c>
      <c r="B13" s="22" t="s">
        <v>153</v>
      </c>
      <c r="C13" s="18" t="s">
        <v>154</v>
      </c>
      <c r="D13" s="25" t="s">
        <v>155</v>
      </c>
      <c r="E13" s="18" t="s">
        <v>156</v>
      </c>
      <c r="F13" s="18" t="s">
        <v>157</v>
      </c>
      <c r="G13" s="27" t="s">
        <v>81</v>
      </c>
      <c r="H13" s="18" t="s">
        <v>82</v>
      </c>
      <c r="I13" s="18" t="s">
        <v>83</v>
      </c>
      <c r="J13" s="18" t="s">
        <v>113</v>
      </c>
      <c r="K13" s="22" t="s">
        <v>86</v>
      </c>
      <c r="L13" s="18">
        <v>0.8</v>
      </c>
      <c r="M13" s="22" t="s">
        <v>86</v>
      </c>
      <c r="N13" s="18">
        <v>8</v>
      </c>
      <c r="O13" s="22">
        <v>10</v>
      </c>
      <c r="P13" s="22">
        <v>4</v>
      </c>
      <c r="Q13" s="22"/>
      <c r="R13" s="22"/>
      <c r="S13" s="22">
        <v>700</v>
      </c>
      <c r="T13" s="22">
        <v>2296</v>
      </c>
      <c r="U13" s="18" t="s">
        <v>87</v>
      </c>
      <c r="V13" s="18" t="s">
        <v>88</v>
      </c>
      <c r="W13" s="18" t="s">
        <v>89</v>
      </c>
      <c r="X13" s="29">
        <v>5.208</v>
      </c>
      <c r="Y13" s="30">
        <f t="shared" si="0"/>
        <v>11.48167460496</v>
      </c>
      <c r="Z13" s="29">
        <v>11.8125</v>
      </c>
      <c r="AA13" s="30">
        <v>26.04210469875</v>
      </c>
      <c r="AB13" s="22">
        <v>2</v>
      </c>
      <c r="AC13" s="32" t="s">
        <v>90</v>
      </c>
      <c r="AD13" s="32" t="s">
        <v>91</v>
      </c>
      <c r="AE13" s="18" t="s">
        <v>92</v>
      </c>
      <c r="AF13" s="18" t="s">
        <v>93</v>
      </c>
      <c r="AG13" s="22">
        <v>150</v>
      </c>
      <c r="AH13" s="29">
        <v>900.9375</v>
      </c>
      <c r="AI13" s="30">
        <v>1986.22719170625</v>
      </c>
      <c r="AJ13" s="22">
        <v>141</v>
      </c>
      <c r="AK13" s="30">
        <f t="shared" si="1"/>
        <v>55.511810967</v>
      </c>
      <c r="AL13" s="22">
        <v>200</v>
      </c>
      <c r="AM13" s="30">
        <v>1196.25</v>
      </c>
      <c r="AN13" s="30">
        <v>2637.279809175</v>
      </c>
      <c r="AO13" s="22">
        <v>185</v>
      </c>
      <c r="AP13" s="30">
        <f t="shared" si="2"/>
        <v>72.834645595</v>
      </c>
      <c r="AQ13" s="22">
        <v>100</v>
      </c>
      <c r="AR13" s="30">
        <v>605.625</v>
      </c>
      <c r="AS13" s="30">
        <v>1335.1745742375</v>
      </c>
      <c r="AT13" s="22">
        <v>100</v>
      </c>
      <c r="AU13" s="30">
        <f t="shared" si="3"/>
        <v>39.3700787</v>
      </c>
      <c r="AV13" s="34">
        <v>5.08</v>
      </c>
      <c r="AW13" s="34">
        <v>2</v>
      </c>
      <c r="AX13" s="4" t="s">
        <v>94</v>
      </c>
      <c r="AY13" s="4" t="s">
        <v>95</v>
      </c>
    </row>
    <row r="14" ht="51" spans="1:51">
      <c r="A14" s="4" t="s">
        <v>75</v>
      </c>
      <c r="B14" s="22" t="s">
        <v>158</v>
      </c>
      <c r="C14" s="22" t="s">
        <v>158</v>
      </c>
      <c r="D14" s="23" t="s">
        <v>159</v>
      </c>
      <c r="E14" s="18" t="s">
        <v>160</v>
      </c>
      <c r="F14" s="18" t="s">
        <v>161</v>
      </c>
      <c r="G14" s="27" t="s">
        <v>81</v>
      </c>
      <c r="H14" s="18" t="s">
        <v>82</v>
      </c>
      <c r="I14" s="18" t="s">
        <v>83</v>
      </c>
      <c r="J14" s="18" t="s">
        <v>162</v>
      </c>
      <c r="K14" s="22" t="s">
        <v>163</v>
      </c>
      <c r="L14" s="12">
        <v>1</v>
      </c>
      <c r="M14" s="22" t="s">
        <v>86</v>
      </c>
      <c r="N14" s="18">
        <v>8</v>
      </c>
      <c r="O14" s="22">
        <v>13</v>
      </c>
      <c r="P14" s="22">
        <v>5</v>
      </c>
      <c r="Q14" s="22"/>
      <c r="R14" s="22"/>
      <c r="S14" s="22">
        <v>480</v>
      </c>
      <c r="T14" s="22">
        <v>1575</v>
      </c>
      <c r="U14" s="18" t="s">
        <v>87</v>
      </c>
      <c r="V14" s="18" t="s">
        <v>88</v>
      </c>
      <c r="W14" s="18" t="s">
        <v>89</v>
      </c>
      <c r="X14" s="29">
        <v>4.416</v>
      </c>
      <c r="Y14" s="30">
        <f t="shared" si="0"/>
        <v>9.73561348992</v>
      </c>
      <c r="Z14" s="29">
        <v>10.1493</v>
      </c>
      <c r="AA14" s="30">
        <v>22.375376357166</v>
      </c>
      <c r="AB14" s="22">
        <v>2</v>
      </c>
      <c r="AC14" s="32" t="s">
        <v>90</v>
      </c>
      <c r="AD14" s="32" t="s">
        <v>91</v>
      </c>
      <c r="AE14" s="18" t="s">
        <v>92</v>
      </c>
      <c r="AF14" s="18" t="s">
        <v>93</v>
      </c>
      <c r="AG14" s="22">
        <v>150</v>
      </c>
      <c r="AH14" s="29">
        <v>776.1975</v>
      </c>
      <c r="AI14" s="30">
        <v>1711.22256608745</v>
      </c>
      <c r="AJ14" s="22">
        <v>141</v>
      </c>
      <c r="AK14" s="30">
        <f t="shared" si="1"/>
        <v>55.511810967</v>
      </c>
      <c r="AL14" s="22">
        <v>200</v>
      </c>
      <c r="AM14" s="30">
        <v>1029.93</v>
      </c>
      <c r="AN14" s="30">
        <v>2270.6069750166</v>
      </c>
      <c r="AO14" s="22">
        <v>185</v>
      </c>
      <c r="AP14" s="30">
        <f t="shared" si="2"/>
        <v>72.834645595</v>
      </c>
      <c r="AQ14" s="22">
        <v>100</v>
      </c>
      <c r="AR14" s="30">
        <v>522.465</v>
      </c>
      <c r="AS14" s="30">
        <v>1151.8381571583</v>
      </c>
      <c r="AT14" s="22">
        <v>100</v>
      </c>
      <c r="AU14" s="30">
        <f t="shared" si="3"/>
        <v>39.3700787</v>
      </c>
      <c r="AV14" s="34">
        <v>5.08</v>
      </c>
      <c r="AW14" s="34">
        <v>2</v>
      </c>
      <c r="AX14" s="4" t="s">
        <v>94</v>
      </c>
      <c r="AY14" s="4" t="s">
        <v>95</v>
      </c>
    </row>
    <row r="15" ht="34" spans="1:51">
      <c r="A15" s="4" t="s">
        <v>75</v>
      </c>
      <c r="B15" s="22" t="s">
        <v>164</v>
      </c>
      <c r="C15" s="18" t="s">
        <v>165</v>
      </c>
      <c r="D15" s="23" t="s">
        <v>166</v>
      </c>
      <c r="E15" s="18" t="s">
        <v>167</v>
      </c>
      <c r="F15" s="18" t="s">
        <v>168</v>
      </c>
      <c r="G15" s="27" t="s">
        <v>81</v>
      </c>
      <c r="H15" s="18" t="s">
        <v>82</v>
      </c>
      <c r="I15" s="18" t="s">
        <v>83</v>
      </c>
      <c r="J15" s="18" t="s">
        <v>169</v>
      </c>
      <c r="K15" s="22" t="s">
        <v>163</v>
      </c>
      <c r="L15" s="12">
        <v>1</v>
      </c>
      <c r="M15" s="22" t="s">
        <v>86</v>
      </c>
      <c r="N15" s="18">
        <v>8</v>
      </c>
      <c r="O15" s="22">
        <v>10</v>
      </c>
      <c r="P15" s="22">
        <v>4</v>
      </c>
      <c r="Q15" s="22"/>
      <c r="R15" s="22"/>
      <c r="S15" s="22">
        <v>480</v>
      </c>
      <c r="T15" s="22">
        <v>1575</v>
      </c>
      <c r="U15" s="18" t="s">
        <v>87</v>
      </c>
      <c r="V15" s="18" t="s">
        <v>88</v>
      </c>
      <c r="W15" s="18" t="s">
        <v>89</v>
      </c>
      <c r="X15" s="29">
        <v>4.416</v>
      </c>
      <c r="Y15" s="30">
        <f t="shared" si="0"/>
        <v>9.73561348992</v>
      </c>
      <c r="Z15" s="29">
        <v>10.1493</v>
      </c>
      <c r="AA15" s="30">
        <v>22.375376357166</v>
      </c>
      <c r="AB15" s="22">
        <v>2</v>
      </c>
      <c r="AC15" s="32" t="s">
        <v>90</v>
      </c>
      <c r="AD15" s="32" t="s">
        <v>91</v>
      </c>
      <c r="AE15" s="18" t="s">
        <v>92</v>
      </c>
      <c r="AF15" s="18" t="s">
        <v>93</v>
      </c>
      <c r="AG15" s="22">
        <v>150</v>
      </c>
      <c r="AH15" s="29">
        <v>776.1975</v>
      </c>
      <c r="AI15" s="30">
        <v>1711.22256608745</v>
      </c>
      <c r="AJ15" s="22">
        <v>141</v>
      </c>
      <c r="AK15" s="30">
        <f t="shared" si="1"/>
        <v>55.511810967</v>
      </c>
      <c r="AL15" s="22">
        <v>200</v>
      </c>
      <c r="AM15" s="30">
        <v>1029.93</v>
      </c>
      <c r="AN15" s="30">
        <v>2270.6069750166</v>
      </c>
      <c r="AO15" s="22">
        <v>185</v>
      </c>
      <c r="AP15" s="30">
        <f t="shared" si="2"/>
        <v>72.834645595</v>
      </c>
      <c r="AQ15" s="22">
        <v>100</v>
      </c>
      <c r="AR15" s="30">
        <v>522.465</v>
      </c>
      <c r="AS15" s="30">
        <v>1151.8381571583</v>
      </c>
      <c r="AT15" s="22">
        <v>100</v>
      </c>
      <c r="AU15" s="30">
        <f t="shared" si="3"/>
        <v>39.3700787</v>
      </c>
      <c r="AV15" s="34">
        <v>5.08</v>
      </c>
      <c r="AW15" s="34">
        <v>2</v>
      </c>
      <c r="AX15" s="4" t="s">
        <v>94</v>
      </c>
      <c r="AY15" s="4" t="s">
        <v>95</v>
      </c>
    </row>
    <row r="16" ht="34" spans="1:51">
      <c r="A16" s="4" t="s">
        <v>75</v>
      </c>
      <c r="B16" s="22" t="s">
        <v>170</v>
      </c>
      <c r="C16" s="18" t="s">
        <v>171</v>
      </c>
      <c r="D16" s="23" t="s">
        <v>172</v>
      </c>
      <c r="E16" s="18" t="s">
        <v>173</v>
      </c>
      <c r="F16" s="18" t="s">
        <v>174</v>
      </c>
      <c r="G16" s="27" t="s">
        <v>81</v>
      </c>
      <c r="H16" s="18" t="s">
        <v>82</v>
      </c>
      <c r="I16" s="18" t="s">
        <v>83</v>
      </c>
      <c r="J16" s="18" t="s">
        <v>169</v>
      </c>
      <c r="K16" s="22" t="s">
        <v>163</v>
      </c>
      <c r="L16" s="12">
        <v>1</v>
      </c>
      <c r="M16" s="22" t="s">
        <v>86</v>
      </c>
      <c r="N16" s="18">
        <v>8</v>
      </c>
      <c r="O16" s="22">
        <v>13</v>
      </c>
      <c r="P16" s="22">
        <v>5</v>
      </c>
      <c r="Q16" s="22"/>
      <c r="R16" s="22"/>
      <c r="S16" s="22">
        <v>480</v>
      </c>
      <c r="T16" s="22">
        <v>1575</v>
      </c>
      <c r="U16" s="18"/>
      <c r="V16" s="18"/>
      <c r="W16" s="18"/>
      <c r="X16" s="29">
        <v>4.416</v>
      </c>
      <c r="Y16" s="30">
        <f t="shared" si="0"/>
        <v>9.73561348992</v>
      </c>
      <c r="Z16" s="29">
        <v>4.9098</v>
      </c>
      <c r="AA16" s="30">
        <v>10.824256139676</v>
      </c>
      <c r="AB16" s="22"/>
      <c r="AC16" s="32" t="s">
        <v>90</v>
      </c>
      <c r="AD16" s="4"/>
      <c r="AE16" s="18" t="s">
        <v>107</v>
      </c>
      <c r="AF16" s="18" t="s">
        <v>175</v>
      </c>
      <c r="AG16" s="22">
        <v>150</v>
      </c>
      <c r="AH16" s="29">
        <v>761.47</v>
      </c>
      <c r="AI16" s="30">
        <v>1678.7539864514</v>
      </c>
      <c r="AJ16" s="22">
        <v>141</v>
      </c>
      <c r="AK16" s="30">
        <f t="shared" si="1"/>
        <v>55.511810967</v>
      </c>
      <c r="AL16" s="22">
        <v>200</v>
      </c>
      <c r="AM16" s="30">
        <v>1006.96</v>
      </c>
      <c r="AN16" s="30">
        <v>2219.9667934352</v>
      </c>
      <c r="AO16" s="22">
        <v>183</v>
      </c>
      <c r="AP16" s="30">
        <f t="shared" si="2"/>
        <v>72.047244021</v>
      </c>
      <c r="AQ16" s="22">
        <v>100</v>
      </c>
      <c r="AR16" s="30">
        <v>515.98</v>
      </c>
      <c r="AS16" s="30">
        <v>1137.5411794676</v>
      </c>
      <c r="AT16" s="22">
        <v>100</v>
      </c>
      <c r="AU16" s="30">
        <f t="shared" si="3"/>
        <v>39.3700787</v>
      </c>
      <c r="AV16" s="34">
        <v>5.08</v>
      </c>
      <c r="AW16" s="34">
        <v>2</v>
      </c>
      <c r="AX16" s="4" t="s">
        <v>94</v>
      </c>
      <c r="AY16" s="4" t="s">
        <v>95</v>
      </c>
    </row>
    <row r="17" ht="34" spans="1:51">
      <c r="A17" s="4" t="s">
        <v>75</v>
      </c>
      <c r="B17" s="22" t="s">
        <v>176</v>
      </c>
      <c r="C17" s="18" t="s">
        <v>177</v>
      </c>
      <c r="D17" s="23" t="s">
        <v>178</v>
      </c>
      <c r="E17" s="18" t="s">
        <v>179</v>
      </c>
      <c r="F17" s="18" t="s">
        <v>180</v>
      </c>
      <c r="G17" s="27" t="s">
        <v>81</v>
      </c>
      <c r="H17" s="18" t="s">
        <v>181</v>
      </c>
      <c r="I17" s="18" t="s">
        <v>182</v>
      </c>
      <c r="J17" s="18" t="s">
        <v>101</v>
      </c>
      <c r="K17" s="22" t="s">
        <v>85</v>
      </c>
      <c r="L17" s="18">
        <v>0.5</v>
      </c>
      <c r="M17" s="22" t="s">
        <v>86</v>
      </c>
      <c r="N17" s="18">
        <v>8</v>
      </c>
      <c r="O17" s="22">
        <v>13</v>
      </c>
      <c r="P17" s="22">
        <v>5</v>
      </c>
      <c r="Q17" s="22"/>
      <c r="R17" s="22"/>
      <c r="S17" s="22">
        <v>2300</v>
      </c>
      <c r="T17" s="22">
        <v>7546</v>
      </c>
      <c r="U17" s="18"/>
      <c r="V17" s="18"/>
      <c r="W17" s="18"/>
      <c r="X17" s="29">
        <v>10.69</v>
      </c>
      <c r="Y17" s="30">
        <f t="shared" si="0"/>
        <v>23.5674158078</v>
      </c>
      <c r="Z17" s="29">
        <v>12.096</v>
      </c>
      <c r="AA17" s="30">
        <v>26.66711521152</v>
      </c>
      <c r="AB17" s="22"/>
      <c r="AC17" s="32" t="s">
        <v>90</v>
      </c>
      <c r="AD17" s="4"/>
      <c r="AE17" s="18" t="s">
        <v>183</v>
      </c>
      <c r="AF17" s="18" t="s">
        <v>184</v>
      </c>
      <c r="AG17" s="22">
        <v>72</v>
      </c>
      <c r="AH17" s="29">
        <v>895.912</v>
      </c>
      <c r="AI17" s="30">
        <v>1975.14786072944</v>
      </c>
      <c r="AJ17" s="22">
        <v>141</v>
      </c>
      <c r="AK17" s="30">
        <f t="shared" si="1"/>
        <v>55.511810967</v>
      </c>
      <c r="AL17" s="22">
        <v>48</v>
      </c>
      <c r="AM17" s="30">
        <v>605.608</v>
      </c>
      <c r="AN17" s="30">
        <v>1335.13709565296</v>
      </c>
      <c r="AO17" s="22">
        <v>100</v>
      </c>
      <c r="AP17" s="30">
        <f t="shared" si="2"/>
        <v>39.3700787</v>
      </c>
      <c r="AQ17" s="22">
        <v>60</v>
      </c>
      <c r="AR17" s="30">
        <v>716.2</v>
      </c>
      <c r="AS17" s="30">
        <v>1578.950720444</v>
      </c>
      <c r="AT17" s="22">
        <v>120</v>
      </c>
      <c r="AU17" s="30">
        <v>47.24409444</v>
      </c>
      <c r="AV17" s="21">
        <v>7.62</v>
      </c>
      <c r="AW17" s="34">
        <v>3</v>
      </c>
      <c r="AX17" s="4" t="s">
        <v>94</v>
      </c>
      <c r="AY17" s="4" t="s">
        <v>95</v>
      </c>
    </row>
    <row r="18" ht="34" spans="1:51">
      <c r="A18" s="4" t="s">
        <v>75</v>
      </c>
      <c r="B18" s="22" t="s">
        <v>185</v>
      </c>
      <c r="C18" s="18" t="s">
        <v>186</v>
      </c>
      <c r="D18" s="23" t="s">
        <v>187</v>
      </c>
      <c r="E18" s="18" t="s">
        <v>188</v>
      </c>
      <c r="F18" s="18" t="s">
        <v>189</v>
      </c>
      <c r="G18" s="27" t="s">
        <v>81</v>
      </c>
      <c r="H18" s="18" t="s">
        <v>181</v>
      </c>
      <c r="I18" s="18" t="s">
        <v>182</v>
      </c>
      <c r="J18" s="18" t="s">
        <v>101</v>
      </c>
      <c r="K18" s="22" t="s">
        <v>85</v>
      </c>
      <c r="L18" s="18">
        <v>0.5</v>
      </c>
      <c r="M18" s="22" t="s">
        <v>86</v>
      </c>
      <c r="N18" s="18">
        <v>8</v>
      </c>
      <c r="O18" s="22">
        <v>20</v>
      </c>
      <c r="P18" s="22">
        <v>8</v>
      </c>
      <c r="Q18" s="22"/>
      <c r="R18" s="22"/>
      <c r="S18" s="22">
        <v>2300</v>
      </c>
      <c r="T18" s="22">
        <v>7546</v>
      </c>
      <c r="U18" s="18"/>
      <c r="V18" s="18"/>
      <c r="W18" s="18"/>
      <c r="X18" s="29">
        <v>10.69</v>
      </c>
      <c r="Y18" s="30">
        <f t="shared" si="0"/>
        <v>23.5674158078</v>
      </c>
      <c r="Z18" s="29">
        <v>12.096</v>
      </c>
      <c r="AA18" s="30">
        <v>26.66711521152</v>
      </c>
      <c r="AB18" s="22"/>
      <c r="AC18" s="32" t="s">
        <v>90</v>
      </c>
      <c r="AD18" s="4"/>
      <c r="AE18" s="18" t="s">
        <v>183</v>
      </c>
      <c r="AF18" s="18" t="s">
        <v>184</v>
      </c>
      <c r="AG18" s="22">
        <v>72</v>
      </c>
      <c r="AH18" s="29">
        <v>895.912</v>
      </c>
      <c r="AI18" s="30">
        <v>1975.14786072944</v>
      </c>
      <c r="AJ18" s="22">
        <v>141</v>
      </c>
      <c r="AK18" s="30">
        <f t="shared" si="1"/>
        <v>55.511810967</v>
      </c>
      <c r="AL18" s="22">
        <v>48</v>
      </c>
      <c r="AM18" s="30">
        <v>605.608</v>
      </c>
      <c r="AN18" s="30">
        <v>1335.13709565296</v>
      </c>
      <c r="AO18" s="22">
        <v>100</v>
      </c>
      <c r="AP18" s="30">
        <f t="shared" si="2"/>
        <v>39.3700787</v>
      </c>
      <c r="AQ18" s="22">
        <v>60</v>
      </c>
      <c r="AR18" s="30">
        <v>716.2</v>
      </c>
      <c r="AS18" s="30">
        <v>1578.950720444</v>
      </c>
      <c r="AT18" s="22">
        <v>120</v>
      </c>
      <c r="AU18" s="30">
        <v>47.24409444</v>
      </c>
      <c r="AV18" s="21">
        <v>7.62</v>
      </c>
      <c r="AW18" s="34">
        <v>3</v>
      </c>
      <c r="AX18" s="4" t="s">
        <v>94</v>
      </c>
      <c r="AY18" s="4" t="s">
        <v>95</v>
      </c>
    </row>
    <row r="19" ht="51" spans="1:51">
      <c r="A19" s="4" t="s">
        <v>75</v>
      </c>
      <c r="B19" s="22" t="s">
        <v>190</v>
      </c>
      <c r="C19" s="18" t="s">
        <v>191</v>
      </c>
      <c r="D19" s="25" t="s">
        <v>192</v>
      </c>
      <c r="E19" s="18" t="s">
        <v>193</v>
      </c>
      <c r="F19" s="18" t="s">
        <v>194</v>
      </c>
      <c r="G19" s="27" t="s">
        <v>81</v>
      </c>
      <c r="H19" s="18" t="s">
        <v>181</v>
      </c>
      <c r="I19" s="18" t="s">
        <v>182</v>
      </c>
      <c r="J19" s="18" t="s">
        <v>84</v>
      </c>
      <c r="K19" s="22" t="s">
        <v>85</v>
      </c>
      <c r="L19" s="18">
        <v>0.5</v>
      </c>
      <c r="M19" s="22" t="s">
        <v>86</v>
      </c>
      <c r="N19" s="18">
        <v>8</v>
      </c>
      <c r="O19" s="22">
        <v>12.5</v>
      </c>
      <c r="P19" s="22">
        <v>5</v>
      </c>
      <c r="Q19" s="22"/>
      <c r="R19" s="22"/>
      <c r="S19" s="22">
        <v>2300</v>
      </c>
      <c r="T19" s="22">
        <v>7546</v>
      </c>
      <c r="U19" s="18" t="s">
        <v>87</v>
      </c>
      <c r="V19" s="18" t="s">
        <v>195</v>
      </c>
      <c r="W19" s="18" t="s">
        <v>196</v>
      </c>
      <c r="X19" s="29">
        <v>10.69</v>
      </c>
      <c r="Y19" s="30">
        <f t="shared" si="0"/>
        <v>23.5674158078</v>
      </c>
      <c r="Z19" s="29">
        <v>12.705</v>
      </c>
      <c r="AA19" s="30">
        <v>28.0097303871</v>
      </c>
      <c r="AB19" s="22">
        <v>1</v>
      </c>
      <c r="AC19" s="32" t="s">
        <v>90</v>
      </c>
      <c r="AD19" s="32" t="s">
        <v>197</v>
      </c>
      <c r="AE19" s="18" t="s">
        <v>198</v>
      </c>
      <c r="AF19" s="18" t="s">
        <v>199</v>
      </c>
      <c r="AG19" s="22">
        <v>72</v>
      </c>
      <c r="AH19" s="29">
        <v>929.76</v>
      </c>
      <c r="AI19" s="30">
        <v>2049.7699271712</v>
      </c>
      <c r="AJ19" s="22">
        <v>141</v>
      </c>
      <c r="AK19" s="30">
        <f t="shared" si="1"/>
        <v>55.511810967</v>
      </c>
      <c r="AL19" s="22">
        <v>60</v>
      </c>
      <c r="AM19" s="30">
        <v>777.3</v>
      </c>
      <c r="AN19" s="30">
        <v>1713.653162526</v>
      </c>
      <c r="AO19" s="22">
        <v>120</v>
      </c>
      <c r="AP19" s="30">
        <f t="shared" si="2"/>
        <v>47.24409444</v>
      </c>
      <c r="AQ19" s="22">
        <v>48</v>
      </c>
      <c r="AR19" s="30">
        <v>595.8</v>
      </c>
      <c r="AS19" s="30">
        <v>1313.514156996</v>
      </c>
      <c r="AT19" s="22">
        <v>110</v>
      </c>
      <c r="AU19" s="30">
        <v>43.30708657</v>
      </c>
      <c r="AV19" s="21">
        <v>7.62</v>
      </c>
      <c r="AW19" s="34">
        <v>3</v>
      </c>
      <c r="AX19" s="4" t="s">
        <v>94</v>
      </c>
      <c r="AY19" s="4" t="s">
        <v>95</v>
      </c>
    </row>
    <row r="20" ht="34" spans="1:51">
      <c r="A20" s="4" t="s">
        <v>75</v>
      </c>
      <c r="B20" s="22" t="s">
        <v>200</v>
      </c>
      <c r="C20" s="18" t="s">
        <v>201</v>
      </c>
      <c r="D20" s="23" t="s">
        <v>202</v>
      </c>
      <c r="E20" s="18" t="s">
        <v>203</v>
      </c>
      <c r="F20" s="18" t="s">
        <v>204</v>
      </c>
      <c r="G20" s="27" t="s">
        <v>81</v>
      </c>
      <c r="H20" s="18" t="s">
        <v>181</v>
      </c>
      <c r="I20" s="18" t="s">
        <v>182</v>
      </c>
      <c r="J20" s="18" t="s">
        <v>101</v>
      </c>
      <c r="K20" s="22" t="s">
        <v>86</v>
      </c>
      <c r="L20" s="18">
        <v>0.8</v>
      </c>
      <c r="M20" s="22" t="s">
        <v>86</v>
      </c>
      <c r="N20" s="18">
        <v>8</v>
      </c>
      <c r="O20" s="22">
        <v>10</v>
      </c>
      <c r="P20" s="22">
        <v>4</v>
      </c>
      <c r="Q20" s="22"/>
      <c r="R20" s="22"/>
      <c r="S20" s="22">
        <v>1460</v>
      </c>
      <c r="T20" s="22">
        <v>4790</v>
      </c>
      <c r="U20" s="18" t="s">
        <v>87</v>
      </c>
      <c r="V20" s="22" t="s">
        <v>195</v>
      </c>
      <c r="W20" s="18" t="s">
        <v>196</v>
      </c>
      <c r="X20" s="29">
        <v>10.86</v>
      </c>
      <c r="Y20" s="30">
        <f t="shared" si="0"/>
        <v>23.9422016532</v>
      </c>
      <c r="Z20" s="29">
        <v>12.8835</v>
      </c>
      <c r="AA20" s="30">
        <v>28.40325552477</v>
      </c>
      <c r="AB20" s="22">
        <v>1</v>
      </c>
      <c r="AC20" s="32" t="s">
        <v>90</v>
      </c>
      <c r="AD20" s="32" t="s">
        <v>197</v>
      </c>
      <c r="AE20" s="18" t="s">
        <v>198</v>
      </c>
      <c r="AF20" s="18" t="s">
        <v>199</v>
      </c>
      <c r="AG20" s="22">
        <v>72</v>
      </c>
      <c r="AH20" s="29">
        <v>942.612</v>
      </c>
      <c r="AI20" s="30">
        <v>2078.10373708344</v>
      </c>
      <c r="AJ20" s="22">
        <v>141</v>
      </c>
      <c r="AK20" s="30">
        <f t="shared" si="1"/>
        <v>55.511810967</v>
      </c>
      <c r="AL20" s="22">
        <v>60</v>
      </c>
      <c r="AM20" s="30">
        <v>788.01</v>
      </c>
      <c r="AN20" s="30">
        <v>1737.2646707862</v>
      </c>
      <c r="AO20" s="22">
        <v>120</v>
      </c>
      <c r="AP20" s="30">
        <f t="shared" si="2"/>
        <v>47.24409444</v>
      </c>
      <c r="AQ20" s="22">
        <v>48</v>
      </c>
      <c r="AR20" s="30">
        <v>603.96</v>
      </c>
      <c r="AS20" s="30">
        <v>1331.5038775752</v>
      </c>
      <c r="AT20" s="22">
        <v>110</v>
      </c>
      <c r="AU20" s="30">
        <v>43.30708657</v>
      </c>
      <c r="AV20" s="21">
        <v>7.62</v>
      </c>
      <c r="AW20" s="34">
        <v>3</v>
      </c>
      <c r="AX20" s="4" t="s">
        <v>94</v>
      </c>
      <c r="AY20" s="4" t="s">
        <v>95</v>
      </c>
    </row>
    <row r="21" ht="51" spans="1:51">
      <c r="A21" s="4" t="s">
        <v>75</v>
      </c>
      <c r="B21" s="22" t="s">
        <v>205</v>
      </c>
      <c r="C21" s="18" t="s">
        <v>206</v>
      </c>
      <c r="D21" s="26" t="s">
        <v>207</v>
      </c>
      <c r="E21" s="18" t="s">
        <v>208</v>
      </c>
      <c r="F21" s="18" t="s">
        <v>209</v>
      </c>
      <c r="G21" s="27" t="s">
        <v>81</v>
      </c>
      <c r="H21" s="18" t="s">
        <v>181</v>
      </c>
      <c r="I21" s="18" t="s">
        <v>182</v>
      </c>
      <c r="J21" s="18" t="s">
        <v>113</v>
      </c>
      <c r="K21" s="22" t="s">
        <v>86</v>
      </c>
      <c r="L21" s="18">
        <v>0.8</v>
      </c>
      <c r="M21" s="22" t="s">
        <v>86</v>
      </c>
      <c r="N21" s="18">
        <v>8</v>
      </c>
      <c r="O21" s="22">
        <v>13</v>
      </c>
      <c r="P21" s="22">
        <v>5</v>
      </c>
      <c r="Q21" s="22"/>
      <c r="R21" s="22"/>
      <c r="S21" s="22">
        <v>1460</v>
      </c>
      <c r="T21" s="22">
        <v>4790</v>
      </c>
      <c r="U21" s="18" t="s">
        <v>87</v>
      </c>
      <c r="V21" s="22" t="s">
        <v>195</v>
      </c>
      <c r="W21" s="18" t="s">
        <v>196</v>
      </c>
      <c r="X21" s="29">
        <v>10.86</v>
      </c>
      <c r="Y21" s="30">
        <f t="shared" si="0"/>
        <v>23.9422016532</v>
      </c>
      <c r="Z21" s="29">
        <v>12.8835</v>
      </c>
      <c r="AA21" s="30">
        <v>28.40325552477</v>
      </c>
      <c r="AB21" s="22">
        <v>1</v>
      </c>
      <c r="AC21" s="32" t="s">
        <v>90</v>
      </c>
      <c r="AD21" s="32" t="s">
        <v>197</v>
      </c>
      <c r="AE21" s="18" t="s">
        <v>198</v>
      </c>
      <c r="AF21" s="18" t="s">
        <v>199</v>
      </c>
      <c r="AG21" s="22">
        <v>72</v>
      </c>
      <c r="AH21" s="29">
        <v>942.612</v>
      </c>
      <c r="AI21" s="30">
        <v>2078.10373708344</v>
      </c>
      <c r="AJ21" s="22">
        <v>141</v>
      </c>
      <c r="AK21" s="30">
        <f t="shared" si="1"/>
        <v>55.511810967</v>
      </c>
      <c r="AL21" s="22">
        <v>60</v>
      </c>
      <c r="AM21" s="30">
        <v>788.01</v>
      </c>
      <c r="AN21" s="30">
        <v>1737.2646707862</v>
      </c>
      <c r="AO21" s="22">
        <v>120</v>
      </c>
      <c r="AP21" s="30">
        <f t="shared" si="2"/>
        <v>47.24409444</v>
      </c>
      <c r="AQ21" s="22">
        <v>48</v>
      </c>
      <c r="AR21" s="30">
        <v>603.96</v>
      </c>
      <c r="AS21" s="30">
        <v>1331.5038775752</v>
      </c>
      <c r="AT21" s="22">
        <v>110</v>
      </c>
      <c r="AU21" s="30">
        <v>43.30708657</v>
      </c>
      <c r="AV21" s="21">
        <v>7.62</v>
      </c>
      <c r="AW21" s="34">
        <v>3</v>
      </c>
      <c r="AX21" s="4" t="s">
        <v>94</v>
      </c>
      <c r="AY21" s="4" t="s">
        <v>95</v>
      </c>
    </row>
    <row r="22" ht="51" spans="1:51">
      <c r="A22" s="4" t="s">
        <v>75</v>
      </c>
      <c r="B22" s="22" t="s">
        <v>210</v>
      </c>
      <c r="C22" s="18" t="s">
        <v>211</v>
      </c>
      <c r="D22" s="24" t="s">
        <v>212</v>
      </c>
      <c r="E22" s="18" t="s">
        <v>213</v>
      </c>
      <c r="F22" s="18" t="s">
        <v>214</v>
      </c>
      <c r="G22" s="27" t="s">
        <v>81</v>
      </c>
      <c r="H22" s="18" t="s">
        <v>82</v>
      </c>
      <c r="I22" s="18" t="s">
        <v>215</v>
      </c>
      <c r="J22" s="18" t="s">
        <v>113</v>
      </c>
      <c r="K22" s="22" t="s">
        <v>125</v>
      </c>
      <c r="L22" s="18">
        <v>0.7</v>
      </c>
      <c r="M22" s="22" t="s">
        <v>216</v>
      </c>
      <c r="N22" s="22">
        <v>16</v>
      </c>
      <c r="O22" s="22">
        <v>16.5</v>
      </c>
      <c r="P22" s="22">
        <v>6.5</v>
      </c>
      <c r="Q22" s="22">
        <v>4.3</v>
      </c>
      <c r="R22" s="22">
        <v>1.7</v>
      </c>
      <c r="S22" s="22">
        <v>450</v>
      </c>
      <c r="T22" s="22">
        <v>1476</v>
      </c>
      <c r="U22" s="18" t="s">
        <v>87</v>
      </c>
      <c r="V22" s="18" t="s">
        <v>217</v>
      </c>
      <c r="W22" s="18" t="s">
        <v>218</v>
      </c>
      <c r="X22" s="29">
        <v>5.691</v>
      </c>
      <c r="Y22" s="30">
        <f t="shared" si="0"/>
        <v>12.54650733042</v>
      </c>
      <c r="Z22" s="29">
        <v>6.80505</v>
      </c>
      <c r="AA22" s="30">
        <v>15.002567160231</v>
      </c>
      <c r="AB22" s="22">
        <v>1</v>
      </c>
      <c r="AC22" s="32" t="s">
        <v>219</v>
      </c>
      <c r="AD22" s="32" t="s">
        <v>91</v>
      </c>
      <c r="AE22" s="18" t="s">
        <v>198</v>
      </c>
      <c r="AF22" s="18" t="s">
        <v>199</v>
      </c>
      <c r="AG22" s="22">
        <v>90</v>
      </c>
      <c r="AH22" s="29">
        <v>627.4545</v>
      </c>
      <c r="AI22" s="30">
        <v>1383.30038372079</v>
      </c>
      <c r="AJ22" s="22">
        <v>140</v>
      </c>
      <c r="AK22" s="30">
        <f t="shared" si="1"/>
        <v>55.11811018</v>
      </c>
      <c r="AL22" s="22">
        <v>120</v>
      </c>
      <c r="AM22" s="30">
        <v>831.606</v>
      </c>
      <c r="AN22" s="30">
        <v>1833.37739852772</v>
      </c>
      <c r="AO22" s="22">
        <v>183</v>
      </c>
      <c r="AP22" s="30">
        <f t="shared" si="2"/>
        <v>72.047244021</v>
      </c>
      <c r="AQ22" s="22">
        <v>60</v>
      </c>
      <c r="AR22" s="30">
        <v>423.303</v>
      </c>
      <c r="AS22" s="30">
        <v>933.22336891386</v>
      </c>
      <c r="AT22" s="22">
        <v>100</v>
      </c>
      <c r="AU22" s="30">
        <f t="shared" ref="AU22:AU32" si="4">AT22*0.393700787</f>
        <v>39.3700787</v>
      </c>
      <c r="AV22" s="34">
        <v>5.08</v>
      </c>
      <c r="AW22" s="34">
        <v>2</v>
      </c>
      <c r="AX22" s="4" t="s">
        <v>94</v>
      </c>
      <c r="AY22" s="4" t="s">
        <v>95</v>
      </c>
    </row>
    <row r="23" ht="34" spans="1:51">
      <c r="A23" s="4" t="s">
        <v>75</v>
      </c>
      <c r="B23" s="22" t="s">
        <v>220</v>
      </c>
      <c r="C23" s="18" t="s">
        <v>221</v>
      </c>
      <c r="D23" s="23" t="s">
        <v>222</v>
      </c>
      <c r="E23" s="18" t="s">
        <v>223</v>
      </c>
      <c r="F23" s="18" t="s">
        <v>224</v>
      </c>
      <c r="G23" s="27" t="s">
        <v>81</v>
      </c>
      <c r="H23" s="18" t="s">
        <v>82</v>
      </c>
      <c r="I23" s="18" t="s">
        <v>215</v>
      </c>
      <c r="J23" s="18" t="s">
        <v>101</v>
      </c>
      <c r="K23" s="22" t="s">
        <v>86</v>
      </c>
      <c r="L23" s="18">
        <v>0.8</v>
      </c>
      <c r="M23" s="22" t="s">
        <v>216</v>
      </c>
      <c r="N23" s="22">
        <v>16</v>
      </c>
      <c r="O23" s="22">
        <v>33</v>
      </c>
      <c r="P23" s="22">
        <v>13</v>
      </c>
      <c r="Q23" s="22">
        <v>4.3</v>
      </c>
      <c r="R23" s="22">
        <v>1.7</v>
      </c>
      <c r="S23" s="22">
        <v>450</v>
      </c>
      <c r="T23" s="22">
        <v>1476</v>
      </c>
      <c r="U23" s="18" t="s">
        <v>87</v>
      </c>
      <c r="V23" s="18" t="s">
        <v>217</v>
      </c>
      <c r="W23" s="18" t="s">
        <v>218</v>
      </c>
      <c r="X23" s="29">
        <v>6.696</v>
      </c>
      <c r="Y23" s="30">
        <f t="shared" si="0"/>
        <v>14.76215306352</v>
      </c>
      <c r="Z23" s="29">
        <v>7.8603</v>
      </c>
      <c r="AA23" s="30">
        <v>17.328995179986</v>
      </c>
      <c r="AB23" s="22">
        <v>1</v>
      </c>
      <c r="AC23" s="32" t="s">
        <v>225</v>
      </c>
      <c r="AD23" s="32" t="s">
        <v>91</v>
      </c>
      <c r="AE23" s="18" t="s">
        <v>198</v>
      </c>
      <c r="AF23" s="18" t="s">
        <v>199</v>
      </c>
      <c r="AG23" s="22">
        <v>90</v>
      </c>
      <c r="AH23" s="29">
        <v>722.427</v>
      </c>
      <c r="AI23" s="30">
        <v>1592.67890549874</v>
      </c>
      <c r="AJ23" s="22">
        <v>140</v>
      </c>
      <c r="AK23" s="30">
        <f t="shared" si="1"/>
        <v>55.11811018</v>
      </c>
      <c r="AL23" s="22">
        <v>120</v>
      </c>
      <c r="AM23" s="30">
        <v>958.236</v>
      </c>
      <c r="AN23" s="30">
        <v>2112.54876089832</v>
      </c>
      <c r="AO23" s="22">
        <v>183</v>
      </c>
      <c r="AP23" s="30">
        <f t="shared" si="2"/>
        <v>72.047244021</v>
      </c>
      <c r="AQ23" s="22">
        <v>60</v>
      </c>
      <c r="AR23" s="30">
        <v>486.618</v>
      </c>
      <c r="AS23" s="30">
        <v>1072.80905009916</v>
      </c>
      <c r="AT23" s="22">
        <v>100</v>
      </c>
      <c r="AU23" s="30">
        <f t="shared" si="4"/>
        <v>39.3700787</v>
      </c>
      <c r="AV23" s="34">
        <v>5.08</v>
      </c>
      <c r="AW23" s="34">
        <v>2</v>
      </c>
      <c r="AX23" s="4" t="s">
        <v>94</v>
      </c>
      <c r="AY23" s="4" t="s">
        <v>95</v>
      </c>
    </row>
    <row r="24" ht="51" spans="1:51">
      <c r="A24" s="4" t="s">
        <v>75</v>
      </c>
      <c r="B24" s="22" t="s">
        <v>226</v>
      </c>
      <c r="C24" s="18" t="s">
        <v>227</v>
      </c>
      <c r="D24" s="25" t="s">
        <v>228</v>
      </c>
      <c r="E24" s="18" t="s">
        <v>229</v>
      </c>
      <c r="F24" s="18" t="s">
        <v>230</v>
      </c>
      <c r="G24" s="27" t="s">
        <v>81</v>
      </c>
      <c r="H24" s="18" t="s">
        <v>231</v>
      </c>
      <c r="I24" s="18" t="s">
        <v>215</v>
      </c>
      <c r="J24" s="18" t="s">
        <v>232</v>
      </c>
      <c r="K24" s="22" t="s">
        <v>86</v>
      </c>
      <c r="L24" s="18">
        <v>0.8</v>
      </c>
      <c r="M24" s="22" t="s">
        <v>216</v>
      </c>
      <c r="N24" s="22">
        <v>16</v>
      </c>
      <c r="O24" s="22">
        <v>16.5</v>
      </c>
      <c r="P24" s="22">
        <v>6.5</v>
      </c>
      <c r="Q24" s="22">
        <v>4.3</v>
      </c>
      <c r="R24" s="22">
        <v>1.7</v>
      </c>
      <c r="S24" s="22">
        <v>600</v>
      </c>
      <c r="T24" s="22">
        <v>1969</v>
      </c>
      <c r="U24" s="18" t="s">
        <v>87</v>
      </c>
      <c r="V24" s="18" t="s">
        <v>217</v>
      </c>
      <c r="W24" s="18" t="s">
        <v>218</v>
      </c>
      <c r="X24" s="29">
        <v>9.216</v>
      </c>
      <c r="Y24" s="30">
        <f t="shared" si="0"/>
        <v>20.31780206592</v>
      </c>
      <c r="Z24" s="29">
        <v>10.5063</v>
      </c>
      <c r="AA24" s="30">
        <v>23.162426632506</v>
      </c>
      <c r="AB24" s="22">
        <v>1</v>
      </c>
      <c r="AC24" s="32" t="s">
        <v>219</v>
      </c>
      <c r="AD24" s="32" t="s">
        <v>91</v>
      </c>
      <c r="AE24" s="18" t="s">
        <v>198</v>
      </c>
      <c r="AF24" s="18" t="s">
        <v>199</v>
      </c>
      <c r="AG24" s="22">
        <v>90</v>
      </c>
      <c r="AH24" s="29">
        <v>960.567</v>
      </c>
      <c r="AI24" s="30">
        <v>2117.68773622554</v>
      </c>
      <c r="AJ24" s="22">
        <v>140</v>
      </c>
      <c r="AK24" s="30">
        <f t="shared" si="1"/>
        <v>55.11811018</v>
      </c>
      <c r="AL24" s="22">
        <v>120</v>
      </c>
      <c r="AM24" s="30">
        <v>1275.756</v>
      </c>
      <c r="AN24" s="30">
        <v>2812.56053520072</v>
      </c>
      <c r="AO24" s="22">
        <v>183</v>
      </c>
      <c r="AP24" s="30">
        <f t="shared" si="2"/>
        <v>72.047244021</v>
      </c>
      <c r="AQ24" s="22">
        <v>60</v>
      </c>
      <c r="AR24" s="30">
        <v>645.378</v>
      </c>
      <c r="AS24" s="30">
        <v>1422.81493725036</v>
      </c>
      <c r="AT24" s="22">
        <v>100</v>
      </c>
      <c r="AU24" s="30">
        <f t="shared" si="4"/>
        <v>39.3700787</v>
      </c>
      <c r="AV24" s="34">
        <v>5.08</v>
      </c>
      <c r="AW24" s="34">
        <v>2</v>
      </c>
      <c r="AX24" s="4" t="s">
        <v>94</v>
      </c>
      <c r="AY24" s="4" t="s">
        <v>95</v>
      </c>
    </row>
    <row r="25" ht="34" spans="1:51">
      <c r="A25" s="4" t="s">
        <v>75</v>
      </c>
      <c r="B25" s="22" t="s">
        <v>233</v>
      </c>
      <c r="C25" s="18" t="s">
        <v>234</v>
      </c>
      <c r="D25" s="23" t="s">
        <v>235</v>
      </c>
      <c r="E25" s="18" t="s">
        <v>236</v>
      </c>
      <c r="F25" s="18" t="s">
        <v>237</v>
      </c>
      <c r="G25" s="27" t="s">
        <v>81</v>
      </c>
      <c r="H25" s="18" t="s">
        <v>82</v>
      </c>
      <c r="I25" s="18" t="s">
        <v>215</v>
      </c>
      <c r="J25" s="18" t="s">
        <v>101</v>
      </c>
      <c r="K25" s="22" t="s">
        <v>86</v>
      </c>
      <c r="L25" s="18">
        <v>0.8</v>
      </c>
      <c r="M25" s="22" t="s">
        <v>216</v>
      </c>
      <c r="N25" s="22">
        <v>16</v>
      </c>
      <c r="O25" s="22">
        <v>16.5</v>
      </c>
      <c r="P25" s="22">
        <v>6.5</v>
      </c>
      <c r="Q25" s="22">
        <v>4.3</v>
      </c>
      <c r="R25" s="22">
        <v>1.7</v>
      </c>
      <c r="S25" s="22">
        <v>450</v>
      </c>
      <c r="T25" s="22">
        <v>1476</v>
      </c>
      <c r="U25" s="18"/>
      <c r="V25" s="18"/>
      <c r="W25" s="18"/>
      <c r="X25" s="29">
        <v>6.696</v>
      </c>
      <c r="Y25" s="30">
        <f t="shared" si="0"/>
        <v>14.76215306352</v>
      </c>
      <c r="Z25" s="29">
        <v>7.5306</v>
      </c>
      <c r="AA25" s="30">
        <v>16.602131102172</v>
      </c>
      <c r="AB25" s="22"/>
      <c r="AC25" s="32" t="s">
        <v>219</v>
      </c>
      <c r="AD25" s="4"/>
      <c r="AE25" s="18" t="s">
        <v>238</v>
      </c>
      <c r="AF25" s="18" t="s">
        <v>239</v>
      </c>
      <c r="AG25" s="22">
        <v>108</v>
      </c>
      <c r="AH25" s="29">
        <v>838.3048</v>
      </c>
      <c r="AI25" s="30">
        <v>1848.14572453458</v>
      </c>
      <c r="AJ25" s="22">
        <v>135</v>
      </c>
      <c r="AK25" s="30">
        <f t="shared" si="1"/>
        <v>53.149606245</v>
      </c>
      <c r="AL25" s="22">
        <v>144</v>
      </c>
      <c r="AM25" s="30">
        <v>1109.4064</v>
      </c>
      <c r="AN25" s="30">
        <v>2445.82244421277</v>
      </c>
      <c r="AO25" s="22">
        <v>180</v>
      </c>
      <c r="AP25" s="30">
        <f t="shared" si="2"/>
        <v>70.86614166</v>
      </c>
      <c r="AQ25" s="22">
        <v>72</v>
      </c>
      <c r="AR25" s="30">
        <v>567.2032</v>
      </c>
      <c r="AS25" s="30">
        <v>1250.46900485638</v>
      </c>
      <c r="AT25" s="22">
        <v>100</v>
      </c>
      <c r="AU25" s="30">
        <f t="shared" si="4"/>
        <v>39.3700787</v>
      </c>
      <c r="AV25" s="34">
        <v>5.08</v>
      </c>
      <c r="AW25" s="34">
        <v>2</v>
      </c>
      <c r="AX25" s="4" t="s">
        <v>94</v>
      </c>
      <c r="AY25" s="4" t="s">
        <v>95</v>
      </c>
    </row>
    <row r="26" ht="34" spans="1:51">
      <c r="A26" s="4" t="s">
        <v>75</v>
      </c>
      <c r="B26" s="22" t="s">
        <v>240</v>
      </c>
      <c r="C26" s="18" t="s">
        <v>241</v>
      </c>
      <c r="D26" s="23" t="s">
        <v>242</v>
      </c>
      <c r="E26" s="18" t="s">
        <v>223</v>
      </c>
      <c r="F26" s="18" t="s">
        <v>224</v>
      </c>
      <c r="G26" s="27" t="s">
        <v>81</v>
      </c>
      <c r="H26" s="18" t="s">
        <v>82</v>
      </c>
      <c r="I26" s="18" t="s">
        <v>215</v>
      </c>
      <c r="J26" s="18" t="s">
        <v>101</v>
      </c>
      <c r="K26" s="22" t="s">
        <v>86</v>
      </c>
      <c r="L26" s="18">
        <v>0.8</v>
      </c>
      <c r="M26" s="22" t="s">
        <v>216</v>
      </c>
      <c r="N26" s="22">
        <v>16</v>
      </c>
      <c r="O26" s="22">
        <v>33</v>
      </c>
      <c r="P26" s="22">
        <v>13</v>
      </c>
      <c r="Q26" s="22">
        <v>4.3</v>
      </c>
      <c r="R26" s="22">
        <v>1.7</v>
      </c>
      <c r="S26" s="22">
        <v>450</v>
      </c>
      <c r="T26" s="22">
        <v>1476</v>
      </c>
      <c r="U26" s="18" t="s">
        <v>87</v>
      </c>
      <c r="V26" s="18" t="s">
        <v>217</v>
      </c>
      <c r="W26" s="18" t="s">
        <v>218</v>
      </c>
      <c r="X26" s="29">
        <v>6.696</v>
      </c>
      <c r="Y26" s="30">
        <f t="shared" si="0"/>
        <v>14.76215306352</v>
      </c>
      <c r="Z26" s="29">
        <v>7.8603</v>
      </c>
      <c r="AA26" s="30">
        <v>17.328995179986</v>
      </c>
      <c r="AB26" s="22">
        <v>1</v>
      </c>
      <c r="AC26" s="32" t="s">
        <v>225</v>
      </c>
      <c r="AD26" s="32" t="s">
        <v>91</v>
      </c>
      <c r="AE26" s="18" t="s">
        <v>198</v>
      </c>
      <c r="AF26" s="18" t="s">
        <v>199</v>
      </c>
      <c r="AG26" s="22">
        <v>90</v>
      </c>
      <c r="AH26" s="29">
        <v>722.427</v>
      </c>
      <c r="AI26" s="30">
        <v>1592.67890549874</v>
      </c>
      <c r="AJ26" s="22">
        <v>140</v>
      </c>
      <c r="AK26" s="30">
        <f t="shared" si="1"/>
        <v>55.11811018</v>
      </c>
      <c r="AL26" s="22">
        <v>120</v>
      </c>
      <c r="AM26" s="30">
        <v>958.236</v>
      </c>
      <c r="AN26" s="30">
        <v>2112.54876089832</v>
      </c>
      <c r="AO26" s="22">
        <v>183</v>
      </c>
      <c r="AP26" s="30">
        <f t="shared" si="2"/>
        <v>72.047244021</v>
      </c>
      <c r="AQ26" s="22">
        <v>60</v>
      </c>
      <c r="AR26" s="30">
        <v>486.618</v>
      </c>
      <c r="AS26" s="30">
        <v>1072.80905009916</v>
      </c>
      <c r="AT26" s="22">
        <v>100</v>
      </c>
      <c r="AU26" s="30">
        <f t="shared" si="4"/>
        <v>39.3700787</v>
      </c>
      <c r="AV26" s="34">
        <v>5.08</v>
      </c>
      <c r="AW26" s="34">
        <v>2</v>
      </c>
      <c r="AX26" s="4" t="s">
        <v>94</v>
      </c>
      <c r="AY26" s="4" t="s">
        <v>95</v>
      </c>
    </row>
    <row r="27" ht="51" spans="1:51">
      <c r="A27" s="4" t="s">
        <v>75</v>
      </c>
      <c r="B27" s="22" t="s">
        <v>243</v>
      </c>
      <c r="C27" s="18" t="s">
        <v>244</v>
      </c>
      <c r="D27" s="26" t="s">
        <v>245</v>
      </c>
      <c r="E27" s="18" t="s">
        <v>246</v>
      </c>
      <c r="F27" s="18" t="s">
        <v>247</v>
      </c>
      <c r="G27" s="27" t="s">
        <v>81</v>
      </c>
      <c r="H27" s="18" t="s">
        <v>82</v>
      </c>
      <c r="I27" s="18" t="s">
        <v>215</v>
      </c>
      <c r="J27" s="18" t="s">
        <v>113</v>
      </c>
      <c r="K27" s="22" t="s">
        <v>86</v>
      </c>
      <c r="L27" s="18">
        <v>0.8</v>
      </c>
      <c r="M27" s="22" t="s">
        <v>216</v>
      </c>
      <c r="N27" s="22">
        <v>16</v>
      </c>
      <c r="O27" s="22">
        <v>33</v>
      </c>
      <c r="P27" s="22">
        <v>13</v>
      </c>
      <c r="Q27" s="22">
        <v>4.3</v>
      </c>
      <c r="R27" s="22">
        <v>1.7</v>
      </c>
      <c r="S27" s="22">
        <v>450</v>
      </c>
      <c r="T27" s="22">
        <v>1476</v>
      </c>
      <c r="U27" s="18" t="s">
        <v>87</v>
      </c>
      <c r="V27" s="18" t="s">
        <v>217</v>
      </c>
      <c r="W27" s="18" t="s">
        <v>218</v>
      </c>
      <c r="X27" s="29">
        <v>6.696</v>
      </c>
      <c r="Y27" s="30">
        <f t="shared" si="0"/>
        <v>14.76215306352</v>
      </c>
      <c r="Z27" s="29">
        <v>7.8603</v>
      </c>
      <c r="AA27" s="30">
        <v>17.328995179986</v>
      </c>
      <c r="AB27" s="22">
        <v>1</v>
      </c>
      <c r="AC27" s="32" t="s">
        <v>225</v>
      </c>
      <c r="AD27" s="32" t="s">
        <v>91</v>
      </c>
      <c r="AE27" s="18" t="s">
        <v>198</v>
      </c>
      <c r="AF27" s="18" t="s">
        <v>199</v>
      </c>
      <c r="AG27" s="22">
        <v>90</v>
      </c>
      <c r="AH27" s="29">
        <v>722.427</v>
      </c>
      <c r="AI27" s="30">
        <v>1592.67890549874</v>
      </c>
      <c r="AJ27" s="22">
        <v>140</v>
      </c>
      <c r="AK27" s="30">
        <f t="shared" si="1"/>
        <v>55.11811018</v>
      </c>
      <c r="AL27" s="22">
        <v>120</v>
      </c>
      <c r="AM27" s="30">
        <v>958.236</v>
      </c>
      <c r="AN27" s="30">
        <v>2112.54876089832</v>
      </c>
      <c r="AO27" s="22">
        <v>183</v>
      </c>
      <c r="AP27" s="30">
        <f t="shared" si="2"/>
        <v>72.047244021</v>
      </c>
      <c r="AQ27" s="22">
        <v>60</v>
      </c>
      <c r="AR27" s="30">
        <v>486.618</v>
      </c>
      <c r="AS27" s="30">
        <v>1072.80905009916</v>
      </c>
      <c r="AT27" s="22">
        <v>100</v>
      </c>
      <c r="AU27" s="30">
        <f t="shared" si="4"/>
        <v>39.3700787</v>
      </c>
      <c r="AV27" s="34">
        <v>5.08</v>
      </c>
      <c r="AW27" s="34">
        <v>2</v>
      </c>
      <c r="AX27" s="4" t="s">
        <v>94</v>
      </c>
      <c r="AY27" s="4" t="s">
        <v>95</v>
      </c>
    </row>
    <row r="28" ht="51" spans="1:51">
      <c r="A28" s="4" t="s">
        <v>75</v>
      </c>
      <c r="B28" s="22" t="s">
        <v>248</v>
      </c>
      <c r="C28" s="18" t="s">
        <v>249</v>
      </c>
      <c r="D28" s="23" t="s">
        <v>250</v>
      </c>
      <c r="E28" s="18" t="s">
        <v>251</v>
      </c>
      <c r="F28" s="18" t="s">
        <v>252</v>
      </c>
      <c r="G28" s="27" t="s">
        <v>81</v>
      </c>
      <c r="H28" s="18" t="s">
        <v>82</v>
      </c>
      <c r="I28" s="18" t="s">
        <v>215</v>
      </c>
      <c r="J28" s="18" t="s">
        <v>113</v>
      </c>
      <c r="K28" s="22" t="s">
        <v>86</v>
      </c>
      <c r="L28" s="18">
        <v>0.8</v>
      </c>
      <c r="M28" s="22" t="s">
        <v>216</v>
      </c>
      <c r="N28" s="22">
        <v>16</v>
      </c>
      <c r="O28" s="22">
        <v>16.5</v>
      </c>
      <c r="P28" s="22">
        <v>6.5</v>
      </c>
      <c r="Q28" s="22">
        <v>4.3</v>
      </c>
      <c r="R28" s="22">
        <v>1.7</v>
      </c>
      <c r="S28" s="22">
        <v>450</v>
      </c>
      <c r="T28" s="22">
        <v>1476</v>
      </c>
      <c r="U28" s="18" t="s">
        <v>87</v>
      </c>
      <c r="V28" s="18" t="s">
        <v>217</v>
      </c>
      <c r="W28" s="18" t="s">
        <v>218</v>
      </c>
      <c r="X28" s="29">
        <v>6.696</v>
      </c>
      <c r="Y28" s="30">
        <f t="shared" si="0"/>
        <v>14.76215306352</v>
      </c>
      <c r="Z28" s="29">
        <v>7.8603</v>
      </c>
      <c r="AA28" s="30">
        <v>17.328995179986</v>
      </c>
      <c r="AB28" s="22">
        <v>1</v>
      </c>
      <c r="AC28" s="32" t="s">
        <v>219</v>
      </c>
      <c r="AD28" s="32" t="s">
        <v>91</v>
      </c>
      <c r="AE28" s="18" t="s">
        <v>198</v>
      </c>
      <c r="AF28" s="18" t="s">
        <v>199</v>
      </c>
      <c r="AG28" s="22">
        <v>90</v>
      </c>
      <c r="AH28" s="29">
        <v>722.427</v>
      </c>
      <c r="AI28" s="30">
        <v>1592.67890549874</v>
      </c>
      <c r="AJ28" s="22">
        <v>140</v>
      </c>
      <c r="AK28" s="30">
        <f t="shared" si="1"/>
        <v>55.11811018</v>
      </c>
      <c r="AL28" s="22">
        <v>120</v>
      </c>
      <c r="AM28" s="30">
        <v>958.236</v>
      </c>
      <c r="AN28" s="30">
        <v>2112.54876089832</v>
      </c>
      <c r="AO28" s="22">
        <v>183</v>
      </c>
      <c r="AP28" s="30">
        <f t="shared" si="2"/>
        <v>72.047244021</v>
      </c>
      <c r="AQ28" s="22">
        <v>60</v>
      </c>
      <c r="AR28" s="30">
        <v>486.618</v>
      </c>
      <c r="AS28" s="30">
        <v>1072.80905009916</v>
      </c>
      <c r="AT28" s="22">
        <v>100</v>
      </c>
      <c r="AU28" s="30">
        <f t="shared" si="4"/>
        <v>39.3700787</v>
      </c>
      <c r="AV28" s="34">
        <v>5.08</v>
      </c>
      <c r="AW28" s="34">
        <v>2</v>
      </c>
      <c r="AX28" s="4" t="s">
        <v>94</v>
      </c>
      <c r="AY28" s="4" t="s">
        <v>95</v>
      </c>
    </row>
    <row r="29" ht="51" spans="1:51">
      <c r="A29" s="4" t="s">
        <v>75</v>
      </c>
      <c r="B29" s="22" t="s">
        <v>253</v>
      </c>
      <c r="C29" s="18" t="s">
        <v>254</v>
      </c>
      <c r="D29" s="23" t="s">
        <v>255</v>
      </c>
      <c r="E29" s="18" t="s">
        <v>256</v>
      </c>
      <c r="F29" s="18" t="s">
        <v>257</v>
      </c>
      <c r="G29" s="27" t="s">
        <v>81</v>
      </c>
      <c r="H29" s="18" t="s">
        <v>231</v>
      </c>
      <c r="I29" s="18" t="s">
        <v>215</v>
      </c>
      <c r="J29" s="18" t="s">
        <v>232</v>
      </c>
      <c r="K29" s="22" t="s">
        <v>86</v>
      </c>
      <c r="L29" s="18">
        <v>0.8</v>
      </c>
      <c r="M29" s="22" t="s">
        <v>216</v>
      </c>
      <c r="N29" s="22">
        <v>16</v>
      </c>
      <c r="O29" s="22">
        <v>33</v>
      </c>
      <c r="P29" s="22">
        <v>13</v>
      </c>
      <c r="Q29" s="22">
        <v>4.3</v>
      </c>
      <c r="R29" s="22">
        <v>1.7</v>
      </c>
      <c r="S29" s="22">
        <v>600</v>
      </c>
      <c r="T29" s="22">
        <v>1969</v>
      </c>
      <c r="U29" s="18" t="s">
        <v>87</v>
      </c>
      <c r="V29" s="18" t="s">
        <v>217</v>
      </c>
      <c r="W29" s="18" t="s">
        <v>218</v>
      </c>
      <c r="X29" s="29">
        <v>9.216</v>
      </c>
      <c r="Y29" s="30">
        <f t="shared" si="0"/>
        <v>20.31780206592</v>
      </c>
      <c r="Z29" s="29">
        <v>10.5063</v>
      </c>
      <c r="AA29" s="30">
        <v>23.162426632506</v>
      </c>
      <c r="AB29" s="22">
        <v>1</v>
      </c>
      <c r="AC29" s="32" t="s">
        <v>225</v>
      </c>
      <c r="AD29" s="32" t="s">
        <v>91</v>
      </c>
      <c r="AE29" s="18" t="s">
        <v>198</v>
      </c>
      <c r="AF29" s="18" t="s">
        <v>199</v>
      </c>
      <c r="AG29" s="22">
        <v>90</v>
      </c>
      <c r="AH29" s="29">
        <v>960.567</v>
      </c>
      <c r="AI29" s="30">
        <v>2117.68773622554</v>
      </c>
      <c r="AJ29" s="22">
        <v>140</v>
      </c>
      <c r="AK29" s="30">
        <f t="shared" si="1"/>
        <v>55.11811018</v>
      </c>
      <c r="AL29" s="22">
        <v>120</v>
      </c>
      <c r="AM29" s="30">
        <v>1275.756</v>
      </c>
      <c r="AN29" s="30">
        <v>2812.56053520072</v>
      </c>
      <c r="AO29" s="22">
        <v>183</v>
      </c>
      <c r="AP29" s="30">
        <f t="shared" si="2"/>
        <v>72.047244021</v>
      </c>
      <c r="AQ29" s="22">
        <v>60</v>
      </c>
      <c r="AR29" s="30">
        <v>645.378</v>
      </c>
      <c r="AS29" s="30">
        <v>1422.81493725036</v>
      </c>
      <c r="AT29" s="22">
        <v>100</v>
      </c>
      <c r="AU29" s="30">
        <f t="shared" si="4"/>
        <v>39.3700787</v>
      </c>
      <c r="AV29" s="34">
        <v>5.08</v>
      </c>
      <c r="AW29" s="34">
        <v>2</v>
      </c>
      <c r="AX29" s="4" t="s">
        <v>94</v>
      </c>
      <c r="AY29" s="4" t="s">
        <v>95</v>
      </c>
    </row>
    <row r="30" ht="51" spans="1:51">
      <c r="A30" s="4" t="s">
        <v>75</v>
      </c>
      <c r="B30" s="22" t="s">
        <v>258</v>
      </c>
      <c r="C30" s="18" t="s">
        <v>259</v>
      </c>
      <c r="D30" s="25" t="s">
        <v>260</v>
      </c>
      <c r="E30" s="18" t="s">
        <v>261</v>
      </c>
      <c r="F30" s="18" t="s">
        <v>262</v>
      </c>
      <c r="G30" s="27" t="s">
        <v>81</v>
      </c>
      <c r="H30" s="18" t="s">
        <v>231</v>
      </c>
      <c r="I30" s="18" t="s">
        <v>215</v>
      </c>
      <c r="J30" s="18" t="s">
        <v>232</v>
      </c>
      <c r="K30" s="22" t="s">
        <v>263</v>
      </c>
      <c r="L30" s="12">
        <v>1</v>
      </c>
      <c r="M30" s="22" t="s">
        <v>216</v>
      </c>
      <c r="N30" s="22">
        <v>16</v>
      </c>
      <c r="O30" s="22">
        <v>33</v>
      </c>
      <c r="P30" s="22">
        <v>13</v>
      </c>
      <c r="Q30" s="22">
        <v>4.3</v>
      </c>
      <c r="R30" s="22">
        <v>1.7</v>
      </c>
      <c r="S30" s="22">
        <v>450</v>
      </c>
      <c r="T30" s="22">
        <v>1476</v>
      </c>
      <c r="U30" s="18" t="s">
        <v>87</v>
      </c>
      <c r="V30" s="18" t="s">
        <v>217</v>
      </c>
      <c r="W30" s="18" t="s">
        <v>218</v>
      </c>
      <c r="X30" s="29">
        <v>8.985</v>
      </c>
      <c r="Y30" s="30">
        <f t="shared" si="0"/>
        <v>19.8085342407</v>
      </c>
      <c r="Z30" s="29">
        <v>10.26375</v>
      </c>
      <c r="AA30" s="30">
        <v>22.627695416025</v>
      </c>
      <c r="AB30" s="22">
        <v>1</v>
      </c>
      <c r="AC30" s="32" t="s">
        <v>225</v>
      </c>
      <c r="AD30" s="32" t="s">
        <v>91</v>
      </c>
      <c r="AE30" s="18" t="s">
        <v>198</v>
      </c>
      <c r="AF30" s="18" t="s">
        <v>199</v>
      </c>
      <c r="AG30" s="22">
        <v>90</v>
      </c>
      <c r="AH30" s="29">
        <v>938.7375</v>
      </c>
      <c r="AI30" s="30">
        <v>2069.56192674225</v>
      </c>
      <c r="AJ30" s="22">
        <v>140</v>
      </c>
      <c r="AK30" s="30">
        <f t="shared" si="1"/>
        <v>55.11811018</v>
      </c>
      <c r="AL30" s="22">
        <v>120</v>
      </c>
      <c r="AM30" s="30">
        <v>1246.65</v>
      </c>
      <c r="AN30" s="30">
        <v>2748.392789223</v>
      </c>
      <c r="AO30" s="22">
        <v>183</v>
      </c>
      <c r="AP30" s="30">
        <f t="shared" si="2"/>
        <v>72.047244021</v>
      </c>
      <c r="AQ30" s="22">
        <v>60</v>
      </c>
      <c r="AR30" s="30">
        <v>630.825</v>
      </c>
      <c r="AS30" s="30">
        <v>1390.7310642615</v>
      </c>
      <c r="AT30" s="22">
        <v>100</v>
      </c>
      <c r="AU30" s="30">
        <f t="shared" si="4"/>
        <v>39.3700787</v>
      </c>
      <c r="AV30" s="34">
        <v>5.08</v>
      </c>
      <c r="AW30" s="34">
        <v>2</v>
      </c>
      <c r="AX30" s="4" t="s">
        <v>94</v>
      </c>
      <c r="AY30" s="4" t="s">
        <v>95</v>
      </c>
    </row>
    <row r="31" ht="51" spans="1:51">
      <c r="A31" s="4" t="s">
        <v>75</v>
      </c>
      <c r="B31" s="22" t="s">
        <v>264</v>
      </c>
      <c r="C31" s="18" t="s">
        <v>265</v>
      </c>
      <c r="D31" s="25" t="s">
        <v>266</v>
      </c>
      <c r="E31" s="18" t="s">
        <v>267</v>
      </c>
      <c r="F31" s="18" t="s">
        <v>268</v>
      </c>
      <c r="G31" s="27" t="s">
        <v>81</v>
      </c>
      <c r="H31" s="18" t="s">
        <v>231</v>
      </c>
      <c r="I31" s="18" t="s">
        <v>215</v>
      </c>
      <c r="J31" s="18" t="s">
        <v>232</v>
      </c>
      <c r="K31" s="22" t="s">
        <v>263</v>
      </c>
      <c r="L31" s="12">
        <v>1</v>
      </c>
      <c r="M31" s="22" t="s">
        <v>216</v>
      </c>
      <c r="N31" s="22">
        <v>16</v>
      </c>
      <c r="O31" s="22">
        <v>16.5</v>
      </c>
      <c r="P31" s="22">
        <v>6.5</v>
      </c>
      <c r="Q31" s="22">
        <v>4.3</v>
      </c>
      <c r="R31" s="22">
        <v>1.7</v>
      </c>
      <c r="S31" s="22">
        <v>450</v>
      </c>
      <c r="T31" s="22">
        <v>1476</v>
      </c>
      <c r="U31" s="18" t="s">
        <v>87</v>
      </c>
      <c r="V31" s="18" t="s">
        <v>217</v>
      </c>
      <c r="W31" s="18" t="s">
        <v>218</v>
      </c>
      <c r="X31" s="29">
        <v>8.985</v>
      </c>
      <c r="Y31" s="30">
        <f t="shared" si="0"/>
        <v>19.8085342407</v>
      </c>
      <c r="Z31" s="29">
        <v>10.26375</v>
      </c>
      <c r="AA31" s="30">
        <v>22.627695416025</v>
      </c>
      <c r="AB31" s="22">
        <v>1</v>
      </c>
      <c r="AC31" s="32" t="s">
        <v>219</v>
      </c>
      <c r="AD31" s="32" t="s">
        <v>91</v>
      </c>
      <c r="AE31" s="18" t="s">
        <v>198</v>
      </c>
      <c r="AF31" s="18" t="s">
        <v>199</v>
      </c>
      <c r="AG31" s="22">
        <v>90</v>
      </c>
      <c r="AH31" s="29">
        <v>938.7375</v>
      </c>
      <c r="AI31" s="30">
        <v>2069.56192674225</v>
      </c>
      <c r="AJ31" s="22">
        <v>140</v>
      </c>
      <c r="AK31" s="30">
        <f t="shared" si="1"/>
        <v>55.11811018</v>
      </c>
      <c r="AL31" s="22">
        <v>120</v>
      </c>
      <c r="AM31" s="30">
        <v>1246.65</v>
      </c>
      <c r="AN31" s="30">
        <v>2748.392789223</v>
      </c>
      <c r="AO31" s="22">
        <v>183</v>
      </c>
      <c r="AP31" s="30">
        <f t="shared" si="2"/>
        <v>72.047244021</v>
      </c>
      <c r="AQ31" s="22">
        <v>60</v>
      </c>
      <c r="AR31" s="30">
        <v>630.825</v>
      </c>
      <c r="AS31" s="30">
        <v>1390.7310642615</v>
      </c>
      <c r="AT31" s="22">
        <v>100</v>
      </c>
      <c r="AU31" s="30">
        <f t="shared" si="4"/>
        <v>39.3700787</v>
      </c>
      <c r="AV31" s="34">
        <v>5.08</v>
      </c>
      <c r="AW31" s="34">
        <v>2</v>
      </c>
      <c r="AX31" s="4" t="s">
        <v>94</v>
      </c>
      <c r="AY31" s="4" t="s">
        <v>95</v>
      </c>
    </row>
    <row r="32" ht="51" spans="1:51">
      <c r="A32" s="4" t="s">
        <v>75</v>
      </c>
      <c r="B32" s="22" t="s">
        <v>269</v>
      </c>
      <c r="C32" s="18" t="s">
        <v>270</v>
      </c>
      <c r="D32" s="23" t="s">
        <v>271</v>
      </c>
      <c r="E32" s="18" t="s">
        <v>272</v>
      </c>
      <c r="F32" s="18" t="s">
        <v>273</v>
      </c>
      <c r="G32" s="27" t="s">
        <v>81</v>
      </c>
      <c r="H32" s="18" t="s">
        <v>231</v>
      </c>
      <c r="I32" s="18" t="s">
        <v>215</v>
      </c>
      <c r="J32" s="18" t="s">
        <v>232</v>
      </c>
      <c r="K32" s="22" t="s">
        <v>274</v>
      </c>
      <c r="L32" s="22">
        <v>1.4</v>
      </c>
      <c r="M32" s="22" t="s">
        <v>216</v>
      </c>
      <c r="N32" s="22">
        <v>16</v>
      </c>
      <c r="O32" s="22">
        <v>33</v>
      </c>
      <c r="P32" s="22">
        <v>13</v>
      </c>
      <c r="Q32" s="22">
        <v>4.3</v>
      </c>
      <c r="R32" s="22">
        <v>1.7</v>
      </c>
      <c r="S32" s="22">
        <v>320</v>
      </c>
      <c r="T32" s="22">
        <v>1050</v>
      </c>
      <c r="U32" s="18" t="s">
        <v>87</v>
      </c>
      <c r="V32" s="18" t="s">
        <v>217</v>
      </c>
      <c r="W32" s="18" t="s">
        <v>218</v>
      </c>
      <c r="X32" s="29">
        <v>8.601</v>
      </c>
      <c r="Y32" s="30">
        <f t="shared" si="0"/>
        <v>18.96195915462</v>
      </c>
      <c r="Z32" s="29">
        <v>9.86055</v>
      </c>
      <c r="AA32" s="30">
        <v>21.738791575641</v>
      </c>
      <c r="AB32" s="22">
        <v>1</v>
      </c>
      <c r="AC32" s="32" t="s">
        <v>225</v>
      </c>
      <c r="AD32" s="32" t="s">
        <v>91</v>
      </c>
      <c r="AE32" s="18" t="s">
        <v>198</v>
      </c>
      <c r="AF32" s="18" t="s">
        <v>199</v>
      </c>
      <c r="AG32" s="22">
        <v>90</v>
      </c>
      <c r="AH32" s="29">
        <v>902.4495</v>
      </c>
      <c r="AI32" s="30">
        <v>1989.56058110769</v>
      </c>
      <c r="AJ32" s="22">
        <v>140</v>
      </c>
      <c r="AK32" s="30">
        <f t="shared" si="1"/>
        <v>55.11811018</v>
      </c>
      <c r="AL32" s="22">
        <v>120</v>
      </c>
      <c r="AM32" s="30">
        <v>1198.266</v>
      </c>
      <c r="AN32" s="30">
        <v>2641.72432837692</v>
      </c>
      <c r="AO32" s="22">
        <v>183</v>
      </c>
      <c r="AP32" s="30">
        <f t="shared" si="2"/>
        <v>72.047244021</v>
      </c>
      <c r="AQ32" s="22">
        <v>60</v>
      </c>
      <c r="AR32" s="30">
        <v>606.633</v>
      </c>
      <c r="AS32" s="30">
        <v>1337.39683383846</v>
      </c>
      <c r="AT32" s="22">
        <v>100</v>
      </c>
      <c r="AU32" s="30">
        <f t="shared" si="4"/>
        <v>39.3700787</v>
      </c>
      <c r="AV32" s="34">
        <v>5.08</v>
      </c>
      <c r="AW32" s="34">
        <v>2</v>
      </c>
      <c r="AX32" s="4" t="s">
        <v>94</v>
      </c>
      <c r="AY32" s="4" t="s">
        <v>95</v>
      </c>
    </row>
    <row r="33" ht="34" spans="1:51">
      <c r="A33" s="4" t="s">
        <v>75</v>
      </c>
      <c r="B33" s="22" t="s">
        <v>275</v>
      </c>
      <c r="C33" s="18" t="s">
        <v>276</v>
      </c>
      <c r="D33" s="26" t="s">
        <v>277</v>
      </c>
      <c r="E33" s="18" t="s">
        <v>278</v>
      </c>
      <c r="F33" s="18" t="s">
        <v>279</v>
      </c>
      <c r="G33" s="27" t="s">
        <v>81</v>
      </c>
      <c r="H33" s="18" t="s">
        <v>280</v>
      </c>
      <c r="I33" s="18" t="s">
        <v>215</v>
      </c>
      <c r="J33" s="18" t="s">
        <v>232</v>
      </c>
      <c r="K33" s="22" t="s">
        <v>274</v>
      </c>
      <c r="L33" s="22">
        <v>1.4</v>
      </c>
      <c r="M33" s="22" t="s">
        <v>281</v>
      </c>
      <c r="N33" s="22">
        <v>32</v>
      </c>
      <c r="O33" s="22">
        <v>16.5</v>
      </c>
      <c r="P33" s="22">
        <v>6.5</v>
      </c>
      <c r="Q33" s="22">
        <v>4.3</v>
      </c>
      <c r="R33" s="22">
        <v>1.7</v>
      </c>
      <c r="S33" s="22">
        <v>200</v>
      </c>
      <c r="T33" s="22">
        <v>656</v>
      </c>
      <c r="U33" s="18" t="s">
        <v>87</v>
      </c>
      <c r="V33" s="18" t="s">
        <v>282</v>
      </c>
      <c r="W33" s="18" t="s">
        <v>283</v>
      </c>
      <c r="X33" s="29">
        <v>10.75</v>
      </c>
      <c r="Y33" s="30">
        <f t="shared" si="0"/>
        <v>23.699693165</v>
      </c>
      <c r="Z33" s="29">
        <v>12.726</v>
      </c>
      <c r="AA33" s="30">
        <v>28.05602746212</v>
      </c>
      <c r="AB33" s="22">
        <v>1</v>
      </c>
      <c r="AC33" s="33" t="s">
        <v>284</v>
      </c>
      <c r="AD33" s="32" t="s">
        <v>285</v>
      </c>
      <c r="AE33" s="18" t="s">
        <v>146</v>
      </c>
      <c r="AF33" s="18" t="s">
        <v>147</v>
      </c>
      <c r="AG33" s="22">
        <v>72</v>
      </c>
      <c r="AH33" s="29">
        <v>931.272</v>
      </c>
      <c r="AI33" s="30">
        <v>2053.10331657264</v>
      </c>
      <c r="AJ33" s="22">
        <v>180</v>
      </c>
      <c r="AK33" s="30">
        <f t="shared" si="1"/>
        <v>70.86614166</v>
      </c>
      <c r="AL33" s="22"/>
      <c r="AM33" s="30"/>
      <c r="AN33" s="30"/>
      <c r="AO33" s="22"/>
      <c r="AP33" s="30"/>
      <c r="AQ33" s="22"/>
      <c r="AR33" s="30"/>
      <c r="AS33" s="30"/>
      <c r="AT33" s="22"/>
      <c r="AU33" s="30"/>
      <c r="AV33" s="34">
        <v>5.08</v>
      </c>
      <c r="AW33" s="34">
        <v>2</v>
      </c>
      <c r="AX33" s="4" t="s">
        <v>94</v>
      </c>
      <c r="AY33" s="4" t="s">
        <v>95</v>
      </c>
    </row>
    <row r="34" ht="34" spans="1:51">
      <c r="A34" s="4" t="s">
        <v>75</v>
      </c>
      <c r="B34" s="22" t="s">
        <v>286</v>
      </c>
      <c r="C34" s="18" t="s">
        <v>287</v>
      </c>
      <c r="D34" s="23" t="s">
        <v>288</v>
      </c>
      <c r="E34" s="18" t="s">
        <v>289</v>
      </c>
      <c r="F34" s="18" t="s">
        <v>290</v>
      </c>
      <c r="G34" s="27" t="s">
        <v>81</v>
      </c>
      <c r="H34" s="18" t="s">
        <v>291</v>
      </c>
      <c r="I34" s="18" t="s">
        <v>215</v>
      </c>
      <c r="J34" s="18" t="s">
        <v>232</v>
      </c>
      <c r="K34" s="22" t="s">
        <v>263</v>
      </c>
      <c r="L34" s="12">
        <v>1</v>
      </c>
      <c r="M34" s="22" t="s">
        <v>281</v>
      </c>
      <c r="N34" s="22">
        <v>32</v>
      </c>
      <c r="O34" s="22">
        <v>33</v>
      </c>
      <c r="P34" s="22">
        <v>13</v>
      </c>
      <c r="Q34" s="22">
        <v>4.3</v>
      </c>
      <c r="R34" s="22">
        <v>1.7</v>
      </c>
      <c r="S34" s="22">
        <v>110</v>
      </c>
      <c r="T34" s="22">
        <v>361</v>
      </c>
      <c r="U34" s="18" t="s">
        <v>87</v>
      </c>
      <c r="V34" s="18" t="s">
        <v>292</v>
      </c>
      <c r="W34" s="18" t="s">
        <v>293</v>
      </c>
      <c r="X34" s="29">
        <v>4.392</v>
      </c>
      <c r="Y34" s="30">
        <f t="shared" si="0"/>
        <v>9.68270254704</v>
      </c>
      <c r="Z34" s="29">
        <v>21.6804</v>
      </c>
      <c r="AA34" s="30">
        <v>47.797100250648</v>
      </c>
      <c r="AB34" s="22">
        <v>4</v>
      </c>
      <c r="AC34" s="33" t="s">
        <v>294</v>
      </c>
      <c r="AD34" s="32" t="s">
        <v>285</v>
      </c>
      <c r="AE34" s="18" t="s">
        <v>107</v>
      </c>
      <c r="AF34" s="18" t="s">
        <v>175</v>
      </c>
      <c r="AG34" s="22">
        <v>128</v>
      </c>
      <c r="AH34" s="29">
        <v>708.7728</v>
      </c>
      <c r="AI34" s="30">
        <v>1562.57654732074</v>
      </c>
      <c r="AJ34" s="22">
        <v>180</v>
      </c>
      <c r="AK34" s="30">
        <f t="shared" si="1"/>
        <v>70.86614166</v>
      </c>
      <c r="AL34" s="22"/>
      <c r="AM34" s="30"/>
      <c r="AN34" s="30"/>
      <c r="AO34" s="22"/>
      <c r="AP34" s="30"/>
      <c r="AQ34" s="22"/>
      <c r="AR34" s="30"/>
      <c r="AS34" s="30"/>
      <c r="AT34" s="22"/>
      <c r="AU34" s="30"/>
      <c r="AV34" s="34">
        <v>5.08</v>
      </c>
      <c r="AW34" s="34">
        <v>2</v>
      </c>
      <c r="AX34" s="4" t="s">
        <v>94</v>
      </c>
      <c r="AY34" s="4" t="s">
        <v>95</v>
      </c>
    </row>
    <row r="35" ht="51" spans="1:51">
      <c r="A35" s="4" t="s">
        <v>75</v>
      </c>
      <c r="B35" s="22" t="s">
        <v>295</v>
      </c>
      <c r="C35" s="18" t="s">
        <v>296</v>
      </c>
      <c r="D35" s="25" t="s">
        <v>297</v>
      </c>
      <c r="E35" s="18" t="s">
        <v>298</v>
      </c>
      <c r="F35" s="18" t="s">
        <v>299</v>
      </c>
      <c r="G35" s="27" t="s">
        <v>81</v>
      </c>
      <c r="H35" s="18" t="s">
        <v>231</v>
      </c>
      <c r="I35" s="18" t="s">
        <v>215</v>
      </c>
      <c r="J35" s="18" t="s">
        <v>232</v>
      </c>
      <c r="K35" s="22" t="s">
        <v>263</v>
      </c>
      <c r="L35" s="12">
        <v>1</v>
      </c>
      <c r="M35" s="22" t="s">
        <v>216</v>
      </c>
      <c r="N35" s="22">
        <v>16</v>
      </c>
      <c r="O35" s="22">
        <v>34.5</v>
      </c>
      <c r="P35" s="22">
        <v>13.6</v>
      </c>
      <c r="Q35" s="22">
        <v>3.2</v>
      </c>
      <c r="R35" s="22">
        <v>1.3</v>
      </c>
      <c r="S35" s="22">
        <v>450</v>
      </c>
      <c r="T35" s="22">
        <v>1476</v>
      </c>
      <c r="U35" s="18" t="s">
        <v>87</v>
      </c>
      <c r="V35" s="18" t="s">
        <v>217</v>
      </c>
      <c r="W35" s="18" t="s">
        <v>218</v>
      </c>
      <c r="X35" s="29">
        <v>8.985</v>
      </c>
      <c r="Y35" s="30">
        <f t="shared" si="0"/>
        <v>19.8085342407</v>
      </c>
      <c r="Z35" s="29">
        <v>10.26375</v>
      </c>
      <c r="AA35" s="30">
        <v>22.627695416025</v>
      </c>
      <c r="AB35" s="22">
        <v>1</v>
      </c>
      <c r="AC35" s="32" t="s">
        <v>225</v>
      </c>
      <c r="AD35" s="32" t="s">
        <v>91</v>
      </c>
      <c r="AE35" s="18" t="s">
        <v>198</v>
      </c>
      <c r="AF35" s="18" t="s">
        <v>199</v>
      </c>
      <c r="AG35" s="22">
        <v>90</v>
      </c>
      <c r="AH35" s="29">
        <v>938.7375</v>
      </c>
      <c r="AI35" s="30">
        <v>2069.56192674225</v>
      </c>
      <c r="AJ35" s="22">
        <v>140</v>
      </c>
      <c r="AK35" s="30">
        <f t="shared" si="1"/>
        <v>55.11811018</v>
      </c>
      <c r="AL35" s="22">
        <v>120</v>
      </c>
      <c r="AM35" s="30">
        <v>1246.65</v>
      </c>
      <c r="AN35" s="30">
        <v>2748.392789223</v>
      </c>
      <c r="AO35" s="22">
        <v>183</v>
      </c>
      <c r="AP35" s="30">
        <f t="shared" si="2"/>
        <v>72.047244021</v>
      </c>
      <c r="AQ35" s="22">
        <v>60</v>
      </c>
      <c r="AR35" s="30">
        <v>630.825</v>
      </c>
      <c r="AS35" s="30">
        <v>1390.7310642615</v>
      </c>
      <c r="AT35" s="22">
        <v>100</v>
      </c>
      <c r="AU35" s="30">
        <f t="shared" ref="AU35:AU41" si="5">AT35*0.393700787</f>
        <v>39.3700787</v>
      </c>
      <c r="AV35" s="34">
        <v>5.08</v>
      </c>
      <c r="AW35" s="34">
        <v>2</v>
      </c>
      <c r="AX35" s="4" t="s">
        <v>94</v>
      </c>
      <c r="AY35" s="4" t="s">
        <v>95</v>
      </c>
    </row>
    <row r="36" ht="51" spans="1:51">
      <c r="A36" s="4" t="s">
        <v>75</v>
      </c>
      <c r="B36" s="22" t="s">
        <v>300</v>
      </c>
      <c r="C36" s="18" t="s">
        <v>301</v>
      </c>
      <c r="D36" s="25" t="s">
        <v>302</v>
      </c>
      <c r="E36" s="18" t="s">
        <v>303</v>
      </c>
      <c r="F36" s="18" t="s">
        <v>304</v>
      </c>
      <c r="G36" s="27" t="s">
        <v>81</v>
      </c>
      <c r="H36" s="18" t="s">
        <v>231</v>
      </c>
      <c r="I36" s="18" t="s">
        <v>215</v>
      </c>
      <c r="J36" s="18" t="s">
        <v>232</v>
      </c>
      <c r="K36" s="22" t="s">
        <v>86</v>
      </c>
      <c r="L36" s="18">
        <v>0.8</v>
      </c>
      <c r="M36" s="22" t="s">
        <v>216</v>
      </c>
      <c r="N36" s="22">
        <v>16</v>
      </c>
      <c r="O36" s="22">
        <v>32</v>
      </c>
      <c r="P36" s="22">
        <v>12.6</v>
      </c>
      <c r="Q36" s="22">
        <v>2.5</v>
      </c>
      <c r="R36" s="22">
        <v>1</v>
      </c>
      <c r="S36" s="22">
        <v>600</v>
      </c>
      <c r="T36" s="22">
        <v>1969</v>
      </c>
      <c r="U36" s="18" t="s">
        <v>87</v>
      </c>
      <c r="V36" s="18" t="s">
        <v>217</v>
      </c>
      <c r="W36" s="18" t="s">
        <v>218</v>
      </c>
      <c r="X36" s="29">
        <v>9.216</v>
      </c>
      <c r="Y36" s="30">
        <f t="shared" si="0"/>
        <v>20.31780206592</v>
      </c>
      <c r="Z36" s="29">
        <v>10.5063</v>
      </c>
      <c r="AA36" s="30">
        <v>23.162426632506</v>
      </c>
      <c r="AB36" s="22">
        <v>1</v>
      </c>
      <c r="AC36" s="32" t="s">
        <v>225</v>
      </c>
      <c r="AD36" s="32" t="s">
        <v>91</v>
      </c>
      <c r="AE36" s="18" t="s">
        <v>198</v>
      </c>
      <c r="AF36" s="18" t="s">
        <v>199</v>
      </c>
      <c r="AG36" s="22">
        <v>90</v>
      </c>
      <c r="AH36" s="29">
        <v>960.567</v>
      </c>
      <c r="AI36" s="30">
        <v>2117.68773622554</v>
      </c>
      <c r="AJ36" s="22">
        <v>140</v>
      </c>
      <c r="AK36" s="30">
        <f t="shared" si="1"/>
        <v>55.11811018</v>
      </c>
      <c r="AL36" s="22">
        <v>120</v>
      </c>
      <c r="AM36" s="30">
        <v>1275.756</v>
      </c>
      <c r="AN36" s="30">
        <v>2812.56053520072</v>
      </c>
      <c r="AO36" s="22">
        <v>183</v>
      </c>
      <c r="AP36" s="30">
        <f t="shared" si="2"/>
        <v>72.047244021</v>
      </c>
      <c r="AQ36" s="22">
        <v>60</v>
      </c>
      <c r="AR36" s="30">
        <v>645.378</v>
      </c>
      <c r="AS36" s="30">
        <v>1422.81493725036</v>
      </c>
      <c r="AT36" s="22">
        <v>100</v>
      </c>
      <c r="AU36" s="30">
        <f t="shared" si="5"/>
        <v>39.3700787</v>
      </c>
      <c r="AV36" s="34">
        <v>5.08</v>
      </c>
      <c r="AW36" s="34">
        <v>2</v>
      </c>
      <c r="AX36" s="4" t="s">
        <v>94</v>
      </c>
      <c r="AY36" s="4" t="s">
        <v>95</v>
      </c>
    </row>
    <row r="37" ht="51" spans="1:51">
      <c r="A37" s="4" t="s">
        <v>75</v>
      </c>
      <c r="B37" s="22" t="s">
        <v>305</v>
      </c>
      <c r="C37" s="18" t="s">
        <v>301</v>
      </c>
      <c r="D37" s="26" t="s">
        <v>306</v>
      </c>
      <c r="E37" s="18" t="s">
        <v>307</v>
      </c>
      <c r="F37" s="18" t="s">
        <v>308</v>
      </c>
      <c r="G37" s="27" t="s">
        <v>81</v>
      </c>
      <c r="H37" s="18" t="s">
        <v>231</v>
      </c>
      <c r="I37" s="18" t="s">
        <v>215</v>
      </c>
      <c r="J37" s="18" t="s">
        <v>232</v>
      </c>
      <c r="K37" s="22" t="s">
        <v>274</v>
      </c>
      <c r="L37" s="22">
        <v>1.4</v>
      </c>
      <c r="M37" s="22" t="s">
        <v>216</v>
      </c>
      <c r="N37" s="22">
        <v>16</v>
      </c>
      <c r="O37" s="22">
        <v>32</v>
      </c>
      <c r="P37" s="22">
        <v>12.6</v>
      </c>
      <c r="Q37" s="22">
        <v>2.5</v>
      </c>
      <c r="R37" s="22">
        <v>1</v>
      </c>
      <c r="S37" s="22">
        <v>320</v>
      </c>
      <c r="T37" s="22">
        <v>1050</v>
      </c>
      <c r="U37" s="18"/>
      <c r="V37" s="18"/>
      <c r="W37" s="18"/>
      <c r="X37" s="29">
        <v>8.601</v>
      </c>
      <c r="Y37" s="30">
        <f t="shared" si="0"/>
        <v>18.96195915462</v>
      </c>
      <c r="Z37" s="29">
        <v>9.53085</v>
      </c>
      <c r="AA37" s="30">
        <v>21.011927497827</v>
      </c>
      <c r="AB37" s="22"/>
      <c r="AC37" s="32" t="s">
        <v>225</v>
      </c>
      <c r="AD37" s="4"/>
      <c r="AE37" s="18" t="s">
        <v>238</v>
      </c>
      <c r="AF37" s="18" t="s">
        <v>239</v>
      </c>
      <c r="AG37" s="22">
        <v>108</v>
      </c>
      <c r="AH37" s="29">
        <v>1054.3318</v>
      </c>
      <c r="AI37" s="30">
        <v>2324.40373526532</v>
      </c>
      <c r="AJ37" s="22">
        <v>135</v>
      </c>
      <c r="AK37" s="30">
        <f t="shared" si="1"/>
        <v>53.149606245</v>
      </c>
      <c r="AL37" s="22">
        <v>144</v>
      </c>
      <c r="AM37" s="30">
        <v>1397.4424</v>
      </c>
      <c r="AN37" s="30">
        <v>3080.83312518709</v>
      </c>
      <c r="AO37" s="22">
        <v>180</v>
      </c>
      <c r="AP37" s="30">
        <f t="shared" si="2"/>
        <v>70.86614166</v>
      </c>
      <c r="AQ37" s="22">
        <v>72</v>
      </c>
      <c r="AR37" s="30">
        <v>711.2212</v>
      </c>
      <c r="AS37" s="30">
        <v>1567.97434534354</v>
      </c>
      <c r="AT37" s="22">
        <v>100</v>
      </c>
      <c r="AU37" s="30">
        <f t="shared" si="5"/>
        <v>39.3700787</v>
      </c>
      <c r="AV37" s="34">
        <v>5.08</v>
      </c>
      <c r="AW37" s="34">
        <v>2</v>
      </c>
      <c r="AX37" s="4" t="s">
        <v>94</v>
      </c>
      <c r="AY37" s="4" t="s">
        <v>95</v>
      </c>
    </row>
    <row r="38" ht="51" spans="1:51">
      <c r="A38" s="4" t="s">
        <v>75</v>
      </c>
      <c r="B38" s="22" t="s">
        <v>309</v>
      </c>
      <c r="C38" s="18" t="s">
        <v>310</v>
      </c>
      <c r="D38" s="25" t="s">
        <v>311</v>
      </c>
      <c r="E38" s="18" t="s">
        <v>312</v>
      </c>
      <c r="F38" s="18" t="s">
        <v>313</v>
      </c>
      <c r="G38" s="27" t="s">
        <v>81</v>
      </c>
      <c r="H38" s="18" t="s">
        <v>231</v>
      </c>
      <c r="I38" s="18" t="s">
        <v>215</v>
      </c>
      <c r="J38" s="18" t="s">
        <v>113</v>
      </c>
      <c r="K38" s="22" t="s">
        <v>86</v>
      </c>
      <c r="L38" s="18">
        <v>0.8</v>
      </c>
      <c r="M38" s="22" t="s">
        <v>216</v>
      </c>
      <c r="N38" s="22">
        <v>16</v>
      </c>
      <c r="O38" s="22">
        <v>32</v>
      </c>
      <c r="P38" s="22">
        <v>12.6</v>
      </c>
      <c r="Q38" s="22">
        <v>2.5</v>
      </c>
      <c r="R38" s="22">
        <v>1</v>
      </c>
      <c r="S38" s="22">
        <v>450</v>
      </c>
      <c r="T38" s="22">
        <v>1476</v>
      </c>
      <c r="U38" s="18" t="s">
        <v>87</v>
      </c>
      <c r="V38" s="18" t="s">
        <v>217</v>
      </c>
      <c r="W38" s="18" t="s">
        <v>218</v>
      </c>
      <c r="X38" s="29">
        <v>6.696</v>
      </c>
      <c r="Y38" s="30">
        <f t="shared" si="0"/>
        <v>14.76215306352</v>
      </c>
      <c r="Z38" s="29">
        <v>7.8603</v>
      </c>
      <c r="AA38" s="30">
        <v>17.328995179986</v>
      </c>
      <c r="AB38" s="22">
        <v>1</v>
      </c>
      <c r="AC38" s="32" t="s">
        <v>225</v>
      </c>
      <c r="AD38" s="32" t="s">
        <v>91</v>
      </c>
      <c r="AE38" s="18" t="s">
        <v>198</v>
      </c>
      <c r="AF38" s="18" t="s">
        <v>199</v>
      </c>
      <c r="AG38" s="22">
        <v>90</v>
      </c>
      <c r="AH38" s="29">
        <v>722.427</v>
      </c>
      <c r="AI38" s="30">
        <v>1592.67890549874</v>
      </c>
      <c r="AJ38" s="22">
        <v>140</v>
      </c>
      <c r="AK38" s="30">
        <f t="shared" si="1"/>
        <v>55.11811018</v>
      </c>
      <c r="AL38" s="22">
        <v>120</v>
      </c>
      <c r="AM38" s="30">
        <v>958.236</v>
      </c>
      <c r="AN38" s="30">
        <v>2112.54876089832</v>
      </c>
      <c r="AO38" s="22">
        <v>183</v>
      </c>
      <c r="AP38" s="30">
        <f t="shared" si="2"/>
        <v>72.047244021</v>
      </c>
      <c r="AQ38" s="22">
        <v>60</v>
      </c>
      <c r="AR38" s="30">
        <v>486.618</v>
      </c>
      <c r="AS38" s="30">
        <v>1072.80905009916</v>
      </c>
      <c r="AT38" s="22">
        <v>100</v>
      </c>
      <c r="AU38" s="30">
        <f t="shared" si="5"/>
        <v>39.3700787</v>
      </c>
      <c r="AV38" s="34">
        <v>5.08</v>
      </c>
      <c r="AW38" s="34">
        <v>2</v>
      </c>
      <c r="AX38" s="4" t="s">
        <v>94</v>
      </c>
      <c r="AY38" s="4" t="s">
        <v>95</v>
      </c>
    </row>
    <row r="39" ht="51" spans="1:51">
      <c r="A39" s="4" t="s">
        <v>75</v>
      </c>
      <c r="B39" s="22" t="s">
        <v>314</v>
      </c>
      <c r="C39" s="18" t="s">
        <v>315</v>
      </c>
      <c r="D39" s="23" t="s">
        <v>316</v>
      </c>
      <c r="E39" s="18" t="s">
        <v>317</v>
      </c>
      <c r="F39" s="18" t="s">
        <v>318</v>
      </c>
      <c r="G39" s="27" t="s">
        <v>81</v>
      </c>
      <c r="H39" s="18" t="s">
        <v>231</v>
      </c>
      <c r="I39" s="18" t="s">
        <v>319</v>
      </c>
      <c r="J39" s="18" t="s">
        <v>101</v>
      </c>
      <c r="K39" s="22" t="s">
        <v>86</v>
      </c>
      <c r="L39" s="18">
        <v>0.8</v>
      </c>
      <c r="M39" s="22" t="s">
        <v>216</v>
      </c>
      <c r="N39" s="22">
        <v>16</v>
      </c>
      <c r="O39" s="22">
        <v>28</v>
      </c>
      <c r="P39" s="22">
        <v>11</v>
      </c>
      <c r="Q39" s="22"/>
      <c r="R39" s="22"/>
      <c r="S39" s="22">
        <v>450</v>
      </c>
      <c r="T39" s="22">
        <v>1476</v>
      </c>
      <c r="U39" s="18" t="s">
        <v>87</v>
      </c>
      <c r="V39" s="18" t="s">
        <v>217</v>
      </c>
      <c r="W39" s="18" t="s">
        <v>218</v>
      </c>
      <c r="X39" s="29">
        <v>6.696</v>
      </c>
      <c r="Y39" s="30">
        <f t="shared" si="0"/>
        <v>14.76215306352</v>
      </c>
      <c r="Z39" s="29">
        <v>7.8603</v>
      </c>
      <c r="AA39" s="30">
        <v>17.328995179986</v>
      </c>
      <c r="AB39" s="22">
        <v>1</v>
      </c>
      <c r="AC39" s="33" t="s">
        <v>320</v>
      </c>
      <c r="AD39" s="32" t="s">
        <v>91</v>
      </c>
      <c r="AE39" s="18" t="s">
        <v>198</v>
      </c>
      <c r="AF39" s="18" t="s">
        <v>199</v>
      </c>
      <c r="AG39" s="22">
        <v>90</v>
      </c>
      <c r="AH39" s="29">
        <v>722.427</v>
      </c>
      <c r="AI39" s="30">
        <v>1592.67890549874</v>
      </c>
      <c r="AJ39" s="22">
        <v>140</v>
      </c>
      <c r="AK39" s="30">
        <f t="shared" si="1"/>
        <v>55.11811018</v>
      </c>
      <c r="AL39" s="22">
        <v>120</v>
      </c>
      <c r="AM39" s="30">
        <v>958.236</v>
      </c>
      <c r="AN39" s="30">
        <v>2112.54876089832</v>
      </c>
      <c r="AO39" s="22">
        <v>183</v>
      </c>
      <c r="AP39" s="30">
        <f t="shared" si="2"/>
        <v>72.047244021</v>
      </c>
      <c r="AQ39" s="22">
        <v>60</v>
      </c>
      <c r="AR39" s="30">
        <v>486.618</v>
      </c>
      <c r="AS39" s="30">
        <v>1072.80905009916</v>
      </c>
      <c r="AT39" s="22">
        <v>100</v>
      </c>
      <c r="AU39" s="30">
        <f t="shared" si="5"/>
        <v>39.3700787</v>
      </c>
      <c r="AV39" s="34">
        <v>5.08</v>
      </c>
      <c r="AW39" s="34">
        <v>2</v>
      </c>
      <c r="AX39" s="4" t="s">
        <v>94</v>
      </c>
      <c r="AY39" s="4" t="s">
        <v>95</v>
      </c>
    </row>
    <row r="40" ht="51" spans="1:51">
      <c r="A40" s="4" t="s">
        <v>75</v>
      </c>
      <c r="B40" s="22" t="s">
        <v>321</v>
      </c>
      <c r="C40" s="18" t="s">
        <v>322</v>
      </c>
      <c r="D40" s="23" t="s">
        <v>323</v>
      </c>
      <c r="E40" s="18" t="s">
        <v>324</v>
      </c>
      <c r="F40" s="18" t="s">
        <v>325</v>
      </c>
      <c r="G40" s="27" t="s">
        <v>81</v>
      </c>
      <c r="H40" s="18" t="s">
        <v>231</v>
      </c>
      <c r="I40" s="18" t="s">
        <v>215</v>
      </c>
      <c r="J40" s="18" t="s">
        <v>232</v>
      </c>
      <c r="K40" s="22" t="s">
        <v>86</v>
      </c>
      <c r="L40" s="18">
        <v>0.8</v>
      </c>
      <c r="M40" s="22" t="s">
        <v>216</v>
      </c>
      <c r="N40" s="22">
        <v>16</v>
      </c>
      <c r="O40" s="22">
        <v>34</v>
      </c>
      <c r="P40" s="22">
        <v>13.4</v>
      </c>
      <c r="Q40" s="22">
        <v>1.5</v>
      </c>
      <c r="R40" s="22">
        <v>0.6</v>
      </c>
      <c r="S40" s="22">
        <v>600</v>
      </c>
      <c r="T40" s="22">
        <v>1969</v>
      </c>
      <c r="U40" s="18" t="s">
        <v>87</v>
      </c>
      <c r="V40" s="18" t="s">
        <v>217</v>
      </c>
      <c r="W40" s="18" t="s">
        <v>218</v>
      </c>
      <c r="X40" s="29">
        <v>9.216</v>
      </c>
      <c r="Y40" s="30">
        <f t="shared" si="0"/>
        <v>20.31780206592</v>
      </c>
      <c r="Z40" s="29">
        <v>10.5063</v>
      </c>
      <c r="AA40" s="30">
        <v>23.162426632506</v>
      </c>
      <c r="AB40" s="22">
        <v>1</v>
      </c>
      <c r="AC40" s="32" t="s">
        <v>326</v>
      </c>
      <c r="AD40" s="32" t="s">
        <v>91</v>
      </c>
      <c r="AE40" s="18" t="s">
        <v>198</v>
      </c>
      <c r="AF40" s="18" t="s">
        <v>199</v>
      </c>
      <c r="AG40" s="22">
        <v>90</v>
      </c>
      <c r="AH40" s="29">
        <v>960.567</v>
      </c>
      <c r="AI40" s="30">
        <v>2117.68773622554</v>
      </c>
      <c r="AJ40" s="22">
        <v>140</v>
      </c>
      <c r="AK40" s="30">
        <f t="shared" si="1"/>
        <v>55.11811018</v>
      </c>
      <c r="AL40" s="22">
        <v>120</v>
      </c>
      <c r="AM40" s="30">
        <v>1275.756</v>
      </c>
      <c r="AN40" s="30">
        <v>2812.56053520072</v>
      </c>
      <c r="AO40" s="22">
        <v>183</v>
      </c>
      <c r="AP40" s="30">
        <f t="shared" si="2"/>
        <v>72.047244021</v>
      </c>
      <c r="AQ40" s="22">
        <v>60</v>
      </c>
      <c r="AR40" s="30">
        <v>645.378</v>
      </c>
      <c r="AS40" s="30">
        <v>1422.81493725036</v>
      </c>
      <c r="AT40" s="22">
        <v>100</v>
      </c>
      <c r="AU40" s="30">
        <f t="shared" si="5"/>
        <v>39.3700787</v>
      </c>
      <c r="AV40" s="34">
        <v>5.08</v>
      </c>
      <c r="AW40" s="34">
        <v>2</v>
      </c>
      <c r="AX40" s="4" t="s">
        <v>94</v>
      </c>
      <c r="AY40" s="4" t="s">
        <v>95</v>
      </c>
    </row>
    <row r="41" ht="51" spans="1:51">
      <c r="A41" s="4" t="s">
        <v>75</v>
      </c>
      <c r="B41" s="22" t="s">
        <v>327</v>
      </c>
      <c r="C41" s="18" t="s">
        <v>328</v>
      </c>
      <c r="D41" s="23" t="s">
        <v>329</v>
      </c>
      <c r="E41" s="18" t="s">
        <v>330</v>
      </c>
      <c r="F41" s="18" t="s">
        <v>331</v>
      </c>
      <c r="G41" s="27" t="s">
        <v>81</v>
      </c>
      <c r="H41" s="18" t="s">
        <v>231</v>
      </c>
      <c r="I41" s="18" t="s">
        <v>215</v>
      </c>
      <c r="J41" s="18" t="s">
        <v>101</v>
      </c>
      <c r="K41" s="22" t="s">
        <v>86</v>
      </c>
      <c r="L41" s="18">
        <v>0.8</v>
      </c>
      <c r="M41" s="22" t="s">
        <v>216</v>
      </c>
      <c r="N41" s="22">
        <v>16</v>
      </c>
      <c r="O41" s="22">
        <v>17</v>
      </c>
      <c r="P41" s="22">
        <v>6.7</v>
      </c>
      <c r="Q41" s="22">
        <v>1.5</v>
      </c>
      <c r="R41" s="22">
        <v>0.6</v>
      </c>
      <c r="S41" s="22">
        <v>450</v>
      </c>
      <c r="T41" s="22">
        <v>1476</v>
      </c>
      <c r="U41" s="18"/>
      <c r="V41" s="18"/>
      <c r="W41" s="18"/>
      <c r="X41" s="29">
        <v>6.696</v>
      </c>
      <c r="Y41" s="30">
        <f t="shared" si="0"/>
        <v>14.76215306352</v>
      </c>
      <c r="Z41" s="29">
        <v>7.5306</v>
      </c>
      <c r="AA41" s="30">
        <v>16.602131102172</v>
      </c>
      <c r="AB41" s="22"/>
      <c r="AC41" s="33" t="s">
        <v>332</v>
      </c>
      <c r="AD41" s="4"/>
      <c r="AE41" s="18" t="s">
        <v>238</v>
      </c>
      <c r="AF41" s="18" t="s">
        <v>239</v>
      </c>
      <c r="AG41" s="22">
        <v>108</v>
      </c>
      <c r="AH41" s="29">
        <v>838.3048</v>
      </c>
      <c r="AI41" s="30">
        <v>1848.14572453458</v>
      </c>
      <c r="AJ41" s="22">
        <v>135</v>
      </c>
      <c r="AK41" s="30">
        <f t="shared" si="1"/>
        <v>53.149606245</v>
      </c>
      <c r="AL41" s="22">
        <v>144</v>
      </c>
      <c r="AM41" s="30">
        <v>1109.4064</v>
      </c>
      <c r="AN41" s="30">
        <v>2445.82244421277</v>
      </c>
      <c r="AO41" s="22">
        <v>180</v>
      </c>
      <c r="AP41" s="30">
        <f t="shared" si="2"/>
        <v>70.86614166</v>
      </c>
      <c r="AQ41" s="22">
        <v>72</v>
      </c>
      <c r="AR41" s="30">
        <v>567.2032</v>
      </c>
      <c r="AS41" s="30">
        <v>1250.46900485638</v>
      </c>
      <c r="AT41" s="22">
        <v>100</v>
      </c>
      <c r="AU41" s="30">
        <f t="shared" si="5"/>
        <v>39.3700787</v>
      </c>
      <c r="AV41" s="34">
        <v>5.08</v>
      </c>
      <c r="AW41" s="34">
        <v>2</v>
      </c>
      <c r="AX41" s="4" t="s">
        <v>94</v>
      </c>
      <c r="AY41" s="4" t="s">
        <v>95</v>
      </c>
    </row>
    <row r="42" ht="34" spans="1:51">
      <c r="A42" s="4" t="s">
        <v>75</v>
      </c>
      <c r="B42" s="22" t="s">
        <v>333</v>
      </c>
      <c r="C42" s="18" t="s">
        <v>334</v>
      </c>
      <c r="D42" s="23" t="s">
        <v>335</v>
      </c>
      <c r="E42" s="18" t="s">
        <v>336</v>
      </c>
      <c r="F42" s="18" t="s">
        <v>337</v>
      </c>
      <c r="G42" s="27" t="s">
        <v>81</v>
      </c>
      <c r="H42" s="18" t="s">
        <v>338</v>
      </c>
      <c r="I42" s="18" t="s">
        <v>215</v>
      </c>
      <c r="J42" s="18" t="s">
        <v>101</v>
      </c>
      <c r="K42" s="22" t="s">
        <v>86</v>
      </c>
      <c r="L42" s="18">
        <v>0.8</v>
      </c>
      <c r="M42" s="22" t="s">
        <v>281</v>
      </c>
      <c r="N42" s="22">
        <v>32</v>
      </c>
      <c r="O42" s="22">
        <v>34</v>
      </c>
      <c r="P42" s="22">
        <v>13.4</v>
      </c>
      <c r="Q42" s="22">
        <v>1.5</v>
      </c>
      <c r="R42" s="22">
        <v>0.6</v>
      </c>
      <c r="S42" s="22">
        <v>225</v>
      </c>
      <c r="T42" s="22">
        <v>738</v>
      </c>
      <c r="U42" s="18" t="s">
        <v>87</v>
      </c>
      <c r="V42" s="18" t="s">
        <v>339</v>
      </c>
      <c r="W42" s="18" t="s">
        <v>340</v>
      </c>
      <c r="X42" s="29">
        <v>6.696</v>
      </c>
      <c r="Y42" s="30">
        <f t="shared" si="0"/>
        <v>14.76215306352</v>
      </c>
      <c r="Z42" s="29">
        <v>16.0986</v>
      </c>
      <c r="AA42" s="30">
        <v>35.491337710332</v>
      </c>
      <c r="AB42" s="22">
        <v>2</v>
      </c>
      <c r="AC42" s="33" t="s">
        <v>341</v>
      </c>
      <c r="AD42" s="32" t="s">
        <v>342</v>
      </c>
      <c r="AE42" s="18" t="s">
        <v>198</v>
      </c>
      <c r="AF42" s="18" t="s">
        <v>199</v>
      </c>
      <c r="AG42" s="22">
        <v>96</v>
      </c>
      <c r="AH42" s="29">
        <v>787.7328</v>
      </c>
      <c r="AI42" s="30">
        <v>1736.65354939594</v>
      </c>
      <c r="AJ42" s="22">
        <v>180</v>
      </c>
      <c r="AK42" s="30">
        <f t="shared" si="1"/>
        <v>70.86614166</v>
      </c>
      <c r="AL42" s="22"/>
      <c r="AM42" s="30"/>
      <c r="AN42" s="30"/>
      <c r="AO42" s="22"/>
      <c r="AP42" s="30"/>
      <c r="AQ42" s="22"/>
      <c r="AR42" s="30"/>
      <c r="AS42" s="30"/>
      <c r="AT42" s="22"/>
      <c r="AU42" s="30"/>
      <c r="AV42" s="34">
        <v>5.08</v>
      </c>
      <c r="AW42" s="34">
        <v>2</v>
      </c>
      <c r="AX42" s="4" t="s">
        <v>94</v>
      </c>
      <c r="AY42" s="4" t="s">
        <v>95</v>
      </c>
    </row>
    <row r="43" ht="34" spans="1:51">
      <c r="A43" s="4" t="s">
        <v>75</v>
      </c>
      <c r="B43" s="22" t="s">
        <v>343</v>
      </c>
      <c r="C43" s="18" t="s">
        <v>344</v>
      </c>
      <c r="D43" s="26" t="s">
        <v>345</v>
      </c>
      <c r="E43" s="18" t="s">
        <v>346</v>
      </c>
      <c r="F43" s="18" t="s">
        <v>347</v>
      </c>
      <c r="G43" s="27" t="s">
        <v>81</v>
      </c>
      <c r="H43" s="18" t="s">
        <v>338</v>
      </c>
      <c r="I43" s="18" t="s">
        <v>215</v>
      </c>
      <c r="J43" s="18" t="s">
        <v>101</v>
      </c>
      <c r="K43" s="22" t="s">
        <v>86</v>
      </c>
      <c r="L43" s="18">
        <v>0.8</v>
      </c>
      <c r="M43" s="22" t="s">
        <v>281</v>
      </c>
      <c r="N43" s="22">
        <v>32</v>
      </c>
      <c r="O43" s="22">
        <v>17</v>
      </c>
      <c r="P43" s="22">
        <v>6.7</v>
      </c>
      <c r="Q43" s="22">
        <v>1.5</v>
      </c>
      <c r="R43" s="22">
        <v>0.6</v>
      </c>
      <c r="S43" s="22">
        <v>225</v>
      </c>
      <c r="T43" s="22">
        <v>738</v>
      </c>
      <c r="U43" s="18" t="s">
        <v>87</v>
      </c>
      <c r="V43" s="18" t="s">
        <v>339</v>
      </c>
      <c r="W43" s="18" t="s">
        <v>340</v>
      </c>
      <c r="X43" s="29">
        <v>6.696</v>
      </c>
      <c r="Y43" s="30">
        <f t="shared" si="0"/>
        <v>14.76215306352</v>
      </c>
      <c r="Z43" s="29">
        <v>16.0986</v>
      </c>
      <c r="AA43" s="30">
        <v>35.491337710332</v>
      </c>
      <c r="AB43" s="22">
        <v>2</v>
      </c>
      <c r="AC43" s="33" t="s">
        <v>348</v>
      </c>
      <c r="AD43" s="32" t="s">
        <v>342</v>
      </c>
      <c r="AE43" s="18" t="s">
        <v>198</v>
      </c>
      <c r="AF43" s="18" t="s">
        <v>199</v>
      </c>
      <c r="AG43" s="22">
        <v>96</v>
      </c>
      <c r="AH43" s="29">
        <v>787.7328</v>
      </c>
      <c r="AI43" s="30">
        <v>1736.65354939594</v>
      </c>
      <c r="AJ43" s="22">
        <v>180</v>
      </c>
      <c r="AK43" s="30">
        <f t="shared" si="1"/>
        <v>70.86614166</v>
      </c>
      <c r="AL43" s="22"/>
      <c r="AM43" s="30"/>
      <c r="AN43" s="30"/>
      <c r="AO43" s="22"/>
      <c r="AP43" s="30"/>
      <c r="AQ43" s="22"/>
      <c r="AR43" s="30"/>
      <c r="AS43" s="30"/>
      <c r="AT43" s="22"/>
      <c r="AU43" s="30"/>
      <c r="AV43" s="34">
        <v>5.08</v>
      </c>
      <c r="AW43" s="34">
        <v>2</v>
      </c>
      <c r="AX43" s="4" t="s">
        <v>94</v>
      </c>
      <c r="AY43" s="4" t="s">
        <v>95</v>
      </c>
    </row>
    <row r="44" ht="51" spans="1:51">
      <c r="A44" s="4" t="s">
        <v>75</v>
      </c>
      <c r="B44" s="22" t="s">
        <v>349</v>
      </c>
      <c r="C44" s="18" t="s">
        <v>350</v>
      </c>
      <c r="D44" s="25" t="s">
        <v>351</v>
      </c>
      <c r="E44" s="18" t="s">
        <v>352</v>
      </c>
      <c r="F44" s="18" t="s">
        <v>353</v>
      </c>
      <c r="G44" s="27" t="s">
        <v>81</v>
      </c>
      <c r="H44" s="18" t="s">
        <v>82</v>
      </c>
      <c r="I44" s="18" t="s">
        <v>319</v>
      </c>
      <c r="J44" s="18" t="s">
        <v>113</v>
      </c>
      <c r="K44" s="22" t="s">
        <v>86</v>
      </c>
      <c r="L44" s="18">
        <v>0.8</v>
      </c>
      <c r="M44" s="22" t="s">
        <v>216</v>
      </c>
      <c r="N44" s="22">
        <v>16</v>
      </c>
      <c r="O44" s="22">
        <v>14</v>
      </c>
      <c r="P44" s="22">
        <v>5.5</v>
      </c>
      <c r="Q44" s="22"/>
      <c r="R44" s="22"/>
      <c r="S44" s="22">
        <v>450</v>
      </c>
      <c r="T44" s="22">
        <v>1476</v>
      </c>
      <c r="U44" s="18" t="s">
        <v>87</v>
      </c>
      <c r="V44" s="18" t="s">
        <v>217</v>
      </c>
      <c r="W44" s="18" t="s">
        <v>218</v>
      </c>
      <c r="X44" s="29">
        <v>6.696</v>
      </c>
      <c r="Y44" s="30">
        <f t="shared" si="0"/>
        <v>14.76215306352</v>
      </c>
      <c r="Z44" s="29">
        <v>7.8603</v>
      </c>
      <c r="AA44" s="30">
        <v>17.328995179986</v>
      </c>
      <c r="AB44" s="22">
        <v>1</v>
      </c>
      <c r="AC44" s="33" t="s">
        <v>354</v>
      </c>
      <c r="AD44" s="32" t="s">
        <v>91</v>
      </c>
      <c r="AE44" s="18" t="s">
        <v>198</v>
      </c>
      <c r="AF44" s="18" t="s">
        <v>199</v>
      </c>
      <c r="AG44" s="22">
        <v>90</v>
      </c>
      <c r="AH44" s="29">
        <v>722.427</v>
      </c>
      <c r="AI44" s="30">
        <v>1592.67890549874</v>
      </c>
      <c r="AJ44" s="22">
        <v>140</v>
      </c>
      <c r="AK44" s="30">
        <f t="shared" si="1"/>
        <v>55.11811018</v>
      </c>
      <c r="AL44" s="22">
        <v>120</v>
      </c>
      <c r="AM44" s="30">
        <v>958.236</v>
      </c>
      <c r="AN44" s="30">
        <v>2112.54876089832</v>
      </c>
      <c r="AO44" s="22">
        <v>183</v>
      </c>
      <c r="AP44" s="30">
        <f t="shared" si="2"/>
        <v>72.047244021</v>
      </c>
      <c r="AQ44" s="22">
        <v>60</v>
      </c>
      <c r="AR44" s="30">
        <v>486.618</v>
      </c>
      <c r="AS44" s="30">
        <v>1072.80905009916</v>
      </c>
      <c r="AT44" s="22">
        <v>100</v>
      </c>
      <c r="AU44" s="30">
        <f t="shared" ref="AU44:AU49" si="6">AT44*0.393700787</f>
        <v>39.3700787</v>
      </c>
      <c r="AV44" s="34">
        <v>5.08</v>
      </c>
      <c r="AW44" s="34">
        <v>2</v>
      </c>
      <c r="AX44" s="4" t="s">
        <v>94</v>
      </c>
      <c r="AY44" s="4" t="s">
        <v>95</v>
      </c>
    </row>
    <row r="45" ht="51" spans="1:51">
      <c r="A45" s="4" t="s">
        <v>75</v>
      </c>
      <c r="B45" s="22" t="s">
        <v>355</v>
      </c>
      <c r="C45" s="18" t="s">
        <v>356</v>
      </c>
      <c r="D45" s="24" t="s">
        <v>357</v>
      </c>
      <c r="E45" s="18" t="s">
        <v>358</v>
      </c>
      <c r="F45" s="18" t="s">
        <v>359</v>
      </c>
      <c r="G45" s="27" t="s">
        <v>81</v>
      </c>
      <c r="H45" s="18" t="s">
        <v>82</v>
      </c>
      <c r="I45" s="18" t="s">
        <v>319</v>
      </c>
      <c r="J45" s="18" t="s">
        <v>113</v>
      </c>
      <c r="K45" s="22" t="s">
        <v>125</v>
      </c>
      <c r="L45" s="18">
        <v>0.7</v>
      </c>
      <c r="M45" s="22" t="s">
        <v>216</v>
      </c>
      <c r="N45" s="22">
        <v>16</v>
      </c>
      <c r="O45" s="22">
        <v>28</v>
      </c>
      <c r="P45" s="22">
        <v>11</v>
      </c>
      <c r="Q45" s="22"/>
      <c r="R45" s="22"/>
      <c r="S45" s="22">
        <v>450</v>
      </c>
      <c r="T45" s="22">
        <v>1476</v>
      </c>
      <c r="U45" s="18" t="s">
        <v>87</v>
      </c>
      <c r="V45" s="18" t="s">
        <v>217</v>
      </c>
      <c r="W45" s="18" t="s">
        <v>218</v>
      </c>
      <c r="X45" s="29">
        <v>5.691</v>
      </c>
      <c r="Y45" s="30">
        <f t="shared" si="0"/>
        <v>12.54650733042</v>
      </c>
      <c r="Z45" s="29">
        <v>6.80505</v>
      </c>
      <c r="AA45" s="30">
        <v>15.002567160231</v>
      </c>
      <c r="AB45" s="22">
        <v>1</v>
      </c>
      <c r="AC45" s="33" t="s">
        <v>320</v>
      </c>
      <c r="AD45" s="32" t="s">
        <v>91</v>
      </c>
      <c r="AE45" s="18" t="s">
        <v>198</v>
      </c>
      <c r="AF45" s="18" t="s">
        <v>199</v>
      </c>
      <c r="AG45" s="22">
        <v>90</v>
      </c>
      <c r="AH45" s="29">
        <v>627.4545</v>
      </c>
      <c r="AI45" s="30">
        <v>1383.30038372079</v>
      </c>
      <c r="AJ45" s="22">
        <v>140</v>
      </c>
      <c r="AK45" s="30">
        <f t="shared" si="1"/>
        <v>55.11811018</v>
      </c>
      <c r="AL45" s="22">
        <v>120</v>
      </c>
      <c r="AM45" s="30">
        <v>831.606</v>
      </c>
      <c r="AN45" s="30">
        <v>1833.37739852772</v>
      </c>
      <c r="AO45" s="22">
        <v>183</v>
      </c>
      <c r="AP45" s="30">
        <f t="shared" si="2"/>
        <v>72.047244021</v>
      </c>
      <c r="AQ45" s="22">
        <v>60</v>
      </c>
      <c r="AR45" s="30">
        <v>423.303</v>
      </c>
      <c r="AS45" s="30">
        <v>933.22336891386</v>
      </c>
      <c r="AT45" s="22">
        <v>100</v>
      </c>
      <c r="AU45" s="30">
        <f t="shared" si="6"/>
        <v>39.3700787</v>
      </c>
      <c r="AV45" s="34">
        <v>5.08</v>
      </c>
      <c r="AW45" s="34">
        <v>2</v>
      </c>
      <c r="AX45" s="4" t="s">
        <v>94</v>
      </c>
      <c r="AY45" s="4" t="s">
        <v>95</v>
      </c>
    </row>
    <row r="46" ht="34" spans="1:51">
      <c r="A46" s="4" t="s">
        <v>75</v>
      </c>
      <c r="B46" s="22" t="s">
        <v>360</v>
      </c>
      <c r="C46" s="18" t="s">
        <v>361</v>
      </c>
      <c r="D46" s="25" t="s">
        <v>362</v>
      </c>
      <c r="E46" s="18" t="s">
        <v>363</v>
      </c>
      <c r="F46" s="18" t="s">
        <v>364</v>
      </c>
      <c r="G46" s="27" t="s">
        <v>81</v>
      </c>
      <c r="H46" s="18" t="s">
        <v>82</v>
      </c>
      <c r="I46" s="18" t="s">
        <v>319</v>
      </c>
      <c r="J46" s="18" t="s">
        <v>101</v>
      </c>
      <c r="K46" s="22" t="s">
        <v>86</v>
      </c>
      <c r="L46" s="18">
        <v>0.8</v>
      </c>
      <c r="M46" s="22" t="s">
        <v>216</v>
      </c>
      <c r="N46" s="22">
        <v>16</v>
      </c>
      <c r="O46" s="22">
        <v>14</v>
      </c>
      <c r="P46" s="22">
        <v>5.5</v>
      </c>
      <c r="Q46" s="22"/>
      <c r="R46" s="22"/>
      <c r="S46" s="22">
        <v>450</v>
      </c>
      <c r="T46" s="22">
        <v>1476</v>
      </c>
      <c r="U46" s="18" t="s">
        <v>87</v>
      </c>
      <c r="V46" s="18" t="s">
        <v>217</v>
      </c>
      <c r="W46" s="18" t="s">
        <v>218</v>
      </c>
      <c r="X46" s="29">
        <v>6.696</v>
      </c>
      <c r="Y46" s="30">
        <f t="shared" si="0"/>
        <v>14.76215306352</v>
      </c>
      <c r="Z46" s="29">
        <v>7.8603</v>
      </c>
      <c r="AA46" s="30">
        <v>17.328995179986</v>
      </c>
      <c r="AB46" s="22">
        <v>1</v>
      </c>
      <c r="AC46" s="33" t="s">
        <v>354</v>
      </c>
      <c r="AD46" s="32" t="s">
        <v>91</v>
      </c>
      <c r="AE46" s="18" t="s">
        <v>198</v>
      </c>
      <c r="AF46" s="18" t="s">
        <v>199</v>
      </c>
      <c r="AG46" s="22">
        <v>90</v>
      </c>
      <c r="AH46" s="29">
        <v>722.427</v>
      </c>
      <c r="AI46" s="30">
        <v>1592.67890549874</v>
      </c>
      <c r="AJ46" s="22">
        <v>140</v>
      </c>
      <c r="AK46" s="30">
        <f t="shared" si="1"/>
        <v>55.11811018</v>
      </c>
      <c r="AL46" s="22">
        <v>120</v>
      </c>
      <c r="AM46" s="30">
        <v>958.236</v>
      </c>
      <c r="AN46" s="30">
        <v>2112.54876089832</v>
      </c>
      <c r="AO46" s="22">
        <v>183</v>
      </c>
      <c r="AP46" s="30">
        <f t="shared" si="2"/>
        <v>72.047244021</v>
      </c>
      <c r="AQ46" s="22">
        <v>60</v>
      </c>
      <c r="AR46" s="30">
        <v>486.618</v>
      </c>
      <c r="AS46" s="30">
        <v>1072.80905009916</v>
      </c>
      <c r="AT46" s="22">
        <v>100</v>
      </c>
      <c r="AU46" s="30">
        <f t="shared" si="6"/>
        <v>39.3700787</v>
      </c>
      <c r="AV46" s="34">
        <v>5.08</v>
      </c>
      <c r="AW46" s="34">
        <v>2</v>
      </c>
      <c r="AX46" s="4" t="s">
        <v>94</v>
      </c>
      <c r="AY46" s="4" t="s">
        <v>95</v>
      </c>
    </row>
    <row r="47" ht="34" spans="1:51">
      <c r="A47" s="4" t="s">
        <v>75</v>
      </c>
      <c r="B47" s="22" t="s">
        <v>365</v>
      </c>
      <c r="C47" s="18" t="s">
        <v>366</v>
      </c>
      <c r="D47" s="23" t="s">
        <v>367</v>
      </c>
      <c r="E47" s="18" t="s">
        <v>368</v>
      </c>
      <c r="F47" s="18" t="s">
        <v>369</v>
      </c>
      <c r="G47" s="27" t="s">
        <v>81</v>
      </c>
      <c r="H47" s="18" t="s">
        <v>82</v>
      </c>
      <c r="I47" s="18" t="s">
        <v>319</v>
      </c>
      <c r="J47" s="18" t="s">
        <v>101</v>
      </c>
      <c r="K47" s="22" t="s">
        <v>86</v>
      </c>
      <c r="L47" s="18">
        <v>0.8</v>
      </c>
      <c r="M47" s="22" t="s">
        <v>216</v>
      </c>
      <c r="N47" s="22">
        <v>16</v>
      </c>
      <c r="O47" s="22">
        <v>14</v>
      </c>
      <c r="P47" s="22">
        <v>5.5</v>
      </c>
      <c r="Q47" s="22"/>
      <c r="R47" s="22"/>
      <c r="S47" s="22">
        <v>450</v>
      </c>
      <c r="T47" s="22">
        <v>1476</v>
      </c>
      <c r="U47" s="18"/>
      <c r="V47" s="18"/>
      <c r="W47" s="18"/>
      <c r="X47" s="29">
        <v>6.696</v>
      </c>
      <c r="Y47" s="30">
        <f t="shared" si="0"/>
        <v>14.76215306352</v>
      </c>
      <c r="Z47" s="29">
        <v>7.5306</v>
      </c>
      <c r="AA47" s="30">
        <v>16.602131102172</v>
      </c>
      <c r="AB47" s="22"/>
      <c r="AC47" s="33" t="s">
        <v>354</v>
      </c>
      <c r="AD47" s="4"/>
      <c r="AE47" s="18" t="s">
        <v>238</v>
      </c>
      <c r="AF47" s="18" t="s">
        <v>239</v>
      </c>
      <c r="AG47" s="22">
        <v>108</v>
      </c>
      <c r="AH47" s="29">
        <v>838.3048</v>
      </c>
      <c r="AI47" s="30">
        <v>1848.14572453458</v>
      </c>
      <c r="AJ47" s="22">
        <v>135</v>
      </c>
      <c r="AK47" s="30">
        <f t="shared" si="1"/>
        <v>53.149606245</v>
      </c>
      <c r="AL47" s="22">
        <v>144</v>
      </c>
      <c r="AM47" s="30">
        <v>1109.4064</v>
      </c>
      <c r="AN47" s="30">
        <v>2445.82244421277</v>
      </c>
      <c r="AO47" s="22">
        <v>180</v>
      </c>
      <c r="AP47" s="30">
        <f t="shared" si="2"/>
        <v>70.86614166</v>
      </c>
      <c r="AQ47" s="22">
        <v>72</v>
      </c>
      <c r="AR47" s="30">
        <v>567.2032</v>
      </c>
      <c r="AS47" s="30">
        <v>1250.46900485638</v>
      </c>
      <c r="AT47" s="22">
        <v>100</v>
      </c>
      <c r="AU47" s="30">
        <f t="shared" si="6"/>
        <v>39.3700787</v>
      </c>
      <c r="AV47" s="34">
        <v>5.08</v>
      </c>
      <c r="AW47" s="34">
        <v>2</v>
      </c>
      <c r="AX47" s="4" t="s">
        <v>94</v>
      </c>
      <c r="AY47" s="4" t="s">
        <v>95</v>
      </c>
    </row>
    <row r="48" ht="34" spans="1:51">
      <c r="A48" s="4" t="s">
        <v>75</v>
      </c>
      <c r="B48" s="18" t="s">
        <v>370</v>
      </c>
      <c r="C48" s="18" t="s">
        <v>371</v>
      </c>
      <c r="D48" s="23" t="s">
        <v>372</v>
      </c>
      <c r="E48" s="18" t="s">
        <v>373</v>
      </c>
      <c r="F48" s="18" t="s">
        <v>374</v>
      </c>
      <c r="G48" s="27" t="s">
        <v>81</v>
      </c>
      <c r="H48" s="18" t="s">
        <v>375</v>
      </c>
      <c r="I48" s="18" t="s">
        <v>376</v>
      </c>
      <c r="J48" s="18" t="s">
        <v>377</v>
      </c>
      <c r="K48" s="22">
        <v>50</v>
      </c>
      <c r="L48" s="22">
        <v>30</v>
      </c>
      <c r="M48" s="22">
        <v>40</v>
      </c>
      <c r="N48" s="22">
        <v>16</v>
      </c>
      <c r="O48" s="22">
        <v>14</v>
      </c>
      <c r="P48" s="22">
        <v>5.5</v>
      </c>
      <c r="Q48" s="22"/>
      <c r="R48" s="22"/>
      <c r="S48" s="22">
        <v>220</v>
      </c>
      <c r="T48" s="22">
        <v>722</v>
      </c>
      <c r="U48" s="18" t="s">
        <v>87</v>
      </c>
      <c r="V48" s="18" t="s">
        <v>378</v>
      </c>
      <c r="W48" s="18" t="s">
        <v>379</v>
      </c>
      <c r="X48" s="29">
        <v>8.45</v>
      </c>
      <c r="Y48" s="30">
        <f t="shared" si="0"/>
        <v>18.629061139</v>
      </c>
      <c r="Z48" s="29">
        <v>19.2696</v>
      </c>
      <c r="AA48" s="30">
        <v>42.482196038352</v>
      </c>
      <c r="AB48" s="22">
        <v>2</v>
      </c>
      <c r="AC48" s="33" t="s">
        <v>380</v>
      </c>
      <c r="AD48" s="32" t="s">
        <v>381</v>
      </c>
      <c r="AE48" s="18" t="s">
        <v>382</v>
      </c>
      <c r="AF48" s="18" t="s">
        <v>383</v>
      </c>
      <c r="AG48" s="22">
        <v>90</v>
      </c>
      <c r="AH48" s="29">
        <v>882.132</v>
      </c>
      <c r="AI48" s="30">
        <v>1944.76816102584</v>
      </c>
      <c r="AJ48" s="22">
        <v>141</v>
      </c>
      <c r="AK48" s="30">
        <f t="shared" si="1"/>
        <v>55.511810967</v>
      </c>
      <c r="AL48" s="22">
        <v>120</v>
      </c>
      <c r="AM48" s="30">
        <v>1171.176</v>
      </c>
      <c r="AN48" s="30">
        <v>2582.00110160112</v>
      </c>
      <c r="AO48" s="22">
        <v>185</v>
      </c>
      <c r="AP48" s="30">
        <f t="shared" si="2"/>
        <v>72.834645595</v>
      </c>
      <c r="AQ48" s="22">
        <v>60</v>
      </c>
      <c r="AR48" s="30">
        <v>593.088</v>
      </c>
      <c r="AS48" s="30">
        <v>1307.53522045056</v>
      </c>
      <c r="AT48" s="22">
        <v>100</v>
      </c>
      <c r="AU48" s="30">
        <f t="shared" si="6"/>
        <v>39.3700787</v>
      </c>
      <c r="AV48" s="34">
        <v>5.08</v>
      </c>
      <c r="AW48" s="34">
        <v>2</v>
      </c>
      <c r="AX48" s="4" t="s">
        <v>94</v>
      </c>
      <c r="AY48" s="4" t="s">
        <v>95</v>
      </c>
    </row>
    <row r="49" ht="34" spans="1:51">
      <c r="A49" s="4" t="s">
        <v>75</v>
      </c>
      <c r="B49" s="18" t="s">
        <v>384</v>
      </c>
      <c r="C49" s="18" t="s">
        <v>385</v>
      </c>
      <c r="D49" s="23" t="s">
        <v>386</v>
      </c>
      <c r="E49" s="18" t="s">
        <v>387</v>
      </c>
      <c r="F49" s="18" t="s">
        <v>388</v>
      </c>
      <c r="G49" s="27" t="s">
        <v>81</v>
      </c>
      <c r="H49" s="18" t="s">
        <v>375</v>
      </c>
      <c r="I49" s="18" t="s">
        <v>389</v>
      </c>
      <c r="J49" s="18" t="s">
        <v>377</v>
      </c>
      <c r="K49" s="22">
        <v>50</v>
      </c>
      <c r="L49" s="22">
        <v>30</v>
      </c>
      <c r="M49" s="22">
        <v>20</v>
      </c>
      <c r="N49" s="18">
        <v>8</v>
      </c>
      <c r="O49" s="22">
        <v>13</v>
      </c>
      <c r="P49" s="22">
        <v>5</v>
      </c>
      <c r="Q49" s="22"/>
      <c r="R49" s="22"/>
      <c r="S49" s="22">
        <v>220</v>
      </c>
      <c r="T49" s="22">
        <v>722</v>
      </c>
      <c r="U49" s="18" t="s">
        <v>87</v>
      </c>
      <c r="V49" s="18" t="s">
        <v>378</v>
      </c>
      <c r="W49" s="18" t="s">
        <v>379</v>
      </c>
      <c r="X49" s="29">
        <v>4.22</v>
      </c>
      <c r="Y49" s="30">
        <f t="shared" si="0"/>
        <v>9.3035074564</v>
      </c>
      <c r="Z49" s="29">
        <v>19.341</v>
      </c>
      <c r="AA49" s="30">
        <v>42.63960609342</v>
      </c>
      <c r="AB49" s="22">
        <v>4</v>
      </c>
      <c r="AC49" s="32" t="s">
        <v>390</v>
      </c>
      <c r="AD49" s="32" t="s">
        <v>381</v>
      </c>
      <c r="AE49" s="18" t="s">
        <v>382</v>
      </c>
      <c r="AF49" s="18" t="s">
        <v>383</v>
      </c>
      <c r="AG49" s="22">
        <v>180</v>
      </c>
      <c r="AH49" s="29">
        <v>885.345</v>
      </c>
      <c r="AI49" s="30">
        <v>1951.8516135039</v>
      </c>
      <c r="AJ49" s="22">
        <v>141</v>
      </c>
      <c r="AK49" s="30">
        <f t="shared" si="1"/>
        <v>55.511810967</v>
      </c>
      <c r="AL49" s="22">
        <v>240</v>
      </c>
      <c r="AM49" s="30">
        <v>1175.46</v>
      </c>
      <c r="AN49" s="30">
        <v>2591.4457049052</v>
      </c>
      <c r="AO49" s="22">
        <v>185</v>
      </c>
      <c r="AP49" s="30">
        <f t="shared" si="2"/>
        <v>72.834645595</v>
      </c>
      <c r="AQ49" s="22">
        <v>120</v>
      </c>
      <c r="AR49" s="30">
        <v>595.23</v>
      </c>
      <c r="AS49" s="30">
        <v>1312.2575221026</v>
      </c>
      <c r="AT49" s="22">
        <v>100</v>
      </c>
      <c r="AU49" s="30">
        <f t="shared" si="6"/>
        <v>39.3700787</v>
      </c>
      <c r="AV49" s="34">
        <v>5.08</v>
      </c>
      <c r="AW49" s="34">
        <v>2</v>
      </c>
      <c r="AX49" s="4" t="s">
        <v>94</v>
      </c>
      <c r="AY49" s="4" t="s">
        <v>95</v>
      </c>
    </row>
    <row r="50" spans="19:20">
      <c r="S50" s="28"/>
      <c r="T50" s="28"/>
    </row>
  </sheetData>
  <pageMargins left="0.75" right="0.75" top="1" bottom="1" header="0.5" footer="0.5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2"/>
  <sheetViews>
    <sheetView workbookViewId="0">
      <selection activeCell="D11" sqref="D11"/>
    </sheetView>
  </sheetViews>
  <sheetFormatPr defaultColWidth="9" defaultRowHeight="16.8" outlineLevelCol="7"/>
  <cols>
    <col min="1" max="1" width="19.5" customWidth="1"/>
    <col min="2" max="2" width="6.25" customWidth="1"/>
    <col min="3" max="3" width="11" customWidth="1"/>
    <col min="4" max="4" width="18" customWidth="1"/>
    <col min="5" max="5" width="30.5" customWidth="1"/>
    <col min="6" max="6" width="32.75" customWidth="1"/>
  </cols>
  <sheetData>
    <row r="1" spans="1:8">
      <c r="A1" s="14" t="s">
        <v>24</v>
      </c>
      <c r="B1" s="14" t="s">
        <v>391</v>
      </c>
      <c r="C1" s="14" t="s">
        <v>392</v>
      </c>
      <c r="D1" s="14" t="s">
        <v>393</v>
      </c>
      <c r="E1" s="14" t="s">
        <v>52</v>
      </c>
      <c r="F1" s="14" t="s">
        <v>394</v>
      </c>
      <c r="G1" s="14" t="s">
        <v>73</v>
      </c>
      <c r="H1" s="14" t="s">
        <v>395</v>
      </c>
    </row>
    <row r="2" ht="17" spans="1:8">
      <c r="A2" s="9" t="s">
        <v>75</v>
      </c>
      <c r="B2" s="18" t="s">
        <v>396</v>
      </c>
      <c r="C2" s="19" t="s">
        <v>397</v>
      </c>
      <c r="D2" s="19" t="s">
        <v>83</v>
      </c>
      <c r="E2" s="20" t="s">
        <v>398</v>
      </c>
      <c r="F2" s="20" t="s">
        <v>399</v>
      </c>
      <c r="G2" s="16" t="s">
        <v>94</v>
      </c>
      <c r="H2" s="9">
        <v>10</v>
      </c>
    </row>
    <row r="3" ht="17" spans="1:8">
      <c r="A3" s="9" t="s">
        <v>75</v>
      </c>
      <c r="B3" s="18" t="s">
        <v>400</v>
      </c>
      <c r="C3" s="19" t="s">
        <v>401</v>
      </c>
      <c r="D3" s="19" t="s">
        <v>182</v>
      </c>
      <c r="E3" s="20" t="s">
        <v>398</v>
      </c>
      <c r="F3" s="20" t="s">
        <v>399</v>
      </c>
      <c r="G3" s="16" t="s">
        <v>94</v>
      </c>
      <c r="H3" s="9">
        <v>20</v>
      </c>
    </row>
    <row r="4" ht="17" spans="1:8">
      <c r="A4" s="9" t="s">
        <v>75</v>
      </c>
      <c r="B4" s="18" t="s">
        <v>402</v>
      </c>
      <c r="C4" s="19" t="s">
        <v>403</v>
      </c>
      <c r="D4" s="19" t="s">
        <v>215</v>
      </c>
      <c r="E4" s="20" t="s">
        <v>404</v>
      </c>
      <c r="F4" s="20" t="s">
        <v>405</v>
      </c>
      <c r="G4" s="16" t="s">
        <v>94</v>
      </c>
      <c r="H4" s="9">
        <v>30</v>
      </c>
    </row>
    <row r="5" ht="17" spans="1:8">
      <c r="A5" s="9" t="s">
        <v>75</v>
      </c>
      <c r="B5" s="18" t="s">
        <v>406</v>
      </c>
      <c r="C5" s="19" t="s">
        <v>407</v>
      </c>
      <c r="D5" s="19" t="s">
        <v>319</v>
      </c>
      <c r="E5" s="20" t="s">
        <v>408</v>
      </c>
      <c r="F5" s="20" t="s">
        <v>409</v>
      </c>
      <c r="G5" s="16" t="s">
        <v>94</v>
      </c>
      <c r="H5" s="9">
        <v>40</v>
      </c>
    </row>
    <row r="6" ht="17" spans="1:8">
      <c r="A6" s="9" t="s">
        <v>75</v>
      </c>
      <c r="B6" s="18" t="s">
        <v>410</v>
      </c>
      <c r="C6" s="19" t="s">
        <v>403</v>
      </c>
      <c r="D6" s="19" t="s">
        <v>215</v>
      </c>
      <c r="E6" s="20" t="s">
        <v>411</v>
      </c>
      <c r="F6" s="20" t="s">
        <v>412</v>
      </c>
      <c r="G6" s="16" t="s">
        <v>94</v>
      </c>
      <c r="H6" s="9">
        <v>50</v>
      </c>
    </row>
    <row r="12" spans="6:6">
      <c r="F12" s="17"/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6"/>
  <sheetViews>
    <sheetView workbookViewId="0">
      <selection activeCell="D23" sqref="D23"/>
    </sheetView>
  </sheetViews>
  <sheetFormatPr defaultColWidth="9" defaultRowHeight="16.8" outlineLevelCol="6"/>
  <cols>
    <col min="1" max="1" width="19.5" customWidth="1"/>
    <col min="2" max="2" width="12" customWidth="1"/>
    <col min="3" max="3" width="24.75" customWidth="1"/>
    <col min="4" max="4" width="47.75" customWidth="1"/>
    <col min="5" max="5" width="24.75" customWidth="1"/>
    <col min="6" max="6" width="18.25" customWidth="1"/>
    <col min="7" max="7" width="17" customWidth="1"/>
  </cols>
  <sheetData>
    <row r="1" spans="1:7">
      <c r="A1" s="14" t="s">
        <v>24</v>
      </c>
      <c r="B1" s="14" t="s">
        <v>391</v>
      </c>
      <c r="C1" s="14" t="s">
        <v>392</v>
      </c>
      <c r="D1" s="14" t="s">
        <v>393</v>
      </c>
      <c r="E1" s="14" t="s">
        <v>413</v>
      </c>
      <c r="F1" s="14" t="s">
        <v>73</v>
      </c>
      <c r="G1" s="14" t="s">
        <v>395</v>
      </c>
    </row>
    <row r="2" ht="17" spans="1:7">
      <c r="A2" s="9" t="s">
        <v>75</v>
      </c>
      <c r="B2" s="15" t="s">
        <v>84</v>
      </c>
      <c r="C2" s="16" t="s">
        <v>414</v>
      </c>
      <c r="D2" s="16" t="s">
        <v>415</v>
      </c>
      <c r="E2" s="16"/>
      <c r="F2" s="16" t="s">
        <v>94</v>
      </c>
      <c r="G2" s="9">
        <v>10</v>
      </c>
    </row>
    <row r="3" ht="17" spans="1:7">
      <c r="A3" s="9" t="s">
        <v>75</v>
      </c>
      <c r="B3" s="15" t="s">
        <v>113</v>
      </c>
      <c r="C3" s="16" t="s">
        <v>416</v>
      </c>
      <c r="D3" s="16" t="s">
        <v>417</v>
      </c>
      <c r="E3" s="16"/>
      <c r="F3" s="16" t="s">
        <v>94</v>
      </c>
      <c r="G3" s="9">
        <v>20</v>
      </c>
    </row>
    <row r="4" ht="17" spans="1:7">
      <c r="A4" s="9" t="s">
        <v>75</v>
      </c>
      <c r="B4" s="15" t="s">
        <v>101</v>
      </c>
      <c r="C4" s="16" t="s">
        <v>101</v>
      </c>
      <c r="D4" s="16" t="s">
        <v>418</v>
      </c>
      <c r="E4" s="16"/>
      <c r="F4" s="16" t="s">
        <v>94</v>
      </c>
      <c r="G4" s="9">
        <v>30</v>
      </c>
    </row>
    <row r="5" ht="17" spans="1:7">
      <c r="A5" s="9" t="s">
        <v>75</v>
      </c>
      <c r="B5" s="15" t="s">
        <v>162</v>
      </c>
      <c r="C5" s="16" t="s">
        <v>419</v>
      </c>
      <c r="D5" s="16" t="s">
        <v>420</v>
      </c>
      <c r="E5" s="16"/>
      <c r="F5" s="16" t="s">
        <v>94</v>
      </c>
      <c r="G5" s="9">
        <v>40</v>
      </c>
    </row>
    <row r="6" ht="17" spans="1:7">
      <c r="A6" s="9" t="s">
        <v>75</v>
      </c>
      <c r="B6" s="15" t="s">
        <v>169</v>
      </c>
      <c r="C6" s="16" t="s">
        <v>169</v>
      </c>
      <c r="D6" s="16" t="s">
        <v>421</v>
      </c>
      <c r="E6" s="16"/>
      <c r="F6" s="16" t="s">
        <v>94</v>
      </c>
      <c r="G6" s="9">
        <v>50</v>
      </c>
    </row>
    <row r="7" ht="17" spans="1:7">
      <c r="A7" s="9" t="s">
        <v>75</v>
      </c>
      <c r="B7" s="15" t="s">
        <v>232</v>
      </c>
      <c r="C7" s="16" t="s">
        <v>422</v>
      </c>
      <c r="D7" s="16" t="s">
        <v>423</v>
      </c>
      <c r="E7" s="16"/>
      <c r="F7" s="16" t="s">
        <v>94</v>
      </c>
      <c r="G7" s="9">
        <v>60</v>
      </c>
    </row>
    <row r="8" ht="17" spans="1:7">
      <c r="A8" s="9" t="s">
        <v>75</v>
      </c>
      <c r="B8" s="15" t="s">
        <v>377</v>
      </c>
      <c r="C8" s="16" t="s">
        <v>424</v>
      </c>
      <c r="D8" s="16" t="s">
        <v>425</v>
      </c>
      <c r="E8" s="16"/>
      <c r="F8" s="16" t="s">
        <v>94</v>
      </c>
      <c r="G8" s="9">
        <v>70</v>
      </c>
    </row>
    <row r="11" spans="1:1">
      <c r="A11" s="17"/>
    </row>
    <row r="12" spans="1:1">
      <c r="A12" s="17"/>
    </row>
    <row r="13" spans="1:1">
      <c r="A13" s="17"/>
    </row>
    <row r="14" spans="1:1">
      <c r="A14" s="17"/>
    </row>
    <row r="15" spans="1:1">
      <c r="A15" s="17"/>
    </row>
    <row r="16" spans="1:1">
      <c r="A16" s="17"/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6"/>
  <sheetViews>
    <sheetView workbookViewId="0">
      <selection activeCell="E30" sqref="E30"/>
    </sheetView>
  </sheetViews>
  <sheetFormatPr defaultColWidth="9" defaultRowHeight="16.8" outlineLevelCol="7"/>
  <cols>
    <col min="1" max="1" width="20" style="7" customWidth="1"/>
    <col min="2" max="2" width="15" style="7" customWidth="1"/>
    <col min="3" max="3" width="17" style="7" customWidth="1"/>
    <col min="4" max="4" width="16" style="7" customWidth="1"/>
    <col min="5" max="5" width="19" style="7" customWidth="1"/>
    <col min="6" max="6" width="18" style="7" customWidth="1"/>
    <col min="7" max="8" width="15" style="7" customWidth="1"/>
    <col min="9" max="16384" width="9" style="7"/>
  </cols>
  <sheetData>
    <row r="1" ht="17.55" spans="1:8">
      <c r="A1" s="8" t="s">
        <v>24</v>
      </c>
      <c r="B1" s="8" t="s">
        <v>426</v>
      </c>
      <c r="C1" s="8" t="s">
        <v>427</v>
      </c>
      <c r="D1" s="8" t="s">
        <v>428</v>
      </c>
      <c r="E1" s="8" t="s">
        <v>429</v>
      </c>
      <c r="F1" s="8" t="s">
        <v>430</v>
      </c>
      <c r="G1" s="8" t="s">
        <v>73</v>
      </c>
      <c r="H1" s="8" t="s">
        <v>395</v>
      </c>
    </row>
    <row r="2" spans="1:8">
      <c r="A2" s="9" t="s">
        <v>75</v>
      </c>
      <c r="B2" s="10" t="s">
        <v>431</v>
      </c>
      <c r="C2" s="10">
        <v>13</v>
      </c>
      <c r="D2" s="10" t="s">
        <v>432</v>
      </c>
      <c r="E2" s="10">
        <v>0.5</v>
      </c>
      <c r="F2" s="10" t="s">
        <v>433</v>
      </c>
      <c r="G2" s="10" t="s">
        <v>94</v>
      </c>
      <c r="H2" s="10">
        <v>10</v>
      </c>
    </row>
    <row r="3" spans="1:8">
      <c r="A3" s="9" t="s">
        <v>75</v>
      </c>
      <c r="B3" s="10" t="s">
        <v>431</v>
      </c>
      <c r="C3" s="10">
        <v>15</v>
      </c>
      <c r="D3" s="10" t="s">
        <v>432</v>
      </c>
      <c r="E3" s="10">
        <v>0.6</v>
      </c>
      <c r="F3" s="10" t="s">
        <v>433</v>
      </c>
      <c r="G3" s="10" t="s">
        <v>94</v>
      </c>
      <c r="H3" s="10">
        <v>20</v>
      </c>
    </row>
    <row r="4" spans="1:8">
      <c r="A4" s="9" t="s">
        <v>75</v>
      </c>
      <c r="B4" s="10" t="s">
        <v>431</v>
      </c>
      <c r="C4" s="10">
        <v>17</v>
      </c>
      <c r="D4" s="10" t="s">
        <v>432</v>
      </c>
      <c r="E4" s="10">
        <v>0.7</v>
      </c>
      <c r="F4" s="10" t="s">
        <v>433</v>
      </c>
      <c r="G4" s="10" t="s">
        <v>94</v>
      </c>
      <c r="H4" s="10">
        <v>30</v>
      </c>
    </row>
    <row r="5" spans="1:8">
      <c r="A5" s="9" t="s">
        <v>75</v>
      </c>
      <c r="B5" s="10" t="s">
        <v>431</v>
      </c>
      <c r="C5" s="10">
        <v>20</v>
      </c>
      <c r="D5" s="10" t="s">
        <v>432</v>
      </c>
      <c r="E5" s="10">
        <v>0.8</v>
      </c>
      <c r="F5" s="10" t="s">
        <v>433</v>
      </c>
      <c r="G5" s="10" t="s">
        <v>94</v>
      </c>
      <c r="H5" s="10">
        <v>40</v>
      </c>
    </row>
    <row r="6" spans="1:8">
      <c r="A6" s="9" t="s">
        <v>75</v>
      </c>
      <c r="B6" s="10" t="s">
        <v>431</v>
      </c>
      <c r="C6" s="10">
        <v>25</v>
      </c>
      <c r="D6" s="10" t="s">
        <v>432</v>
      </c>
      <c r="E6" s="12">
        <v>1</v>
      </c>
      <c r="F6" s="10" t="s">
        <v>433</v>
      </c>
      <c r="G6" s="10" t="s">
        <v>94</v>
      </c>
      <c r="H6" s="10">
        <v>50</v>
      </c>
    </row>
    <row r="7" spans="1:8">
      <c r="A7" s="9" t="s">
        <v>75</v>
      </c>
      <c r="B7" s="10" t="s">
        <v>431</v>
      </c>
      <c r="C7" s="10">
        <v>26</v>
      </c>
      <c r="D7" s="10" t="s">
        <v>432</v>
      </c>
      <c r="E7" s="12">
        <v>1</v>
      </c>
      <c r="F7" s="10" t="s">
        <v>433</v>
      </c>
      <c r="G7" s="10" t="s">
        <v>94</v>
      </c>
      <c r="H7" s="10">
        <v>60</v>
      </c>
    </row>
    <row r="8" spans="1:8">
      <c r="A8" s="9" t="s">
        <v>75</v>
      </c>
      <c r="B8" s="10" t="s">
        <v>431</v>
      </c>
      <c r="C8" s="10">
        <v>35</v>
      </c>
      <c r="D8" s="10" t="s">
        <v>432</v>
      </c>
      <c r="E8" s="12">
        <v>1.4</v>
      </c>
      <c r="F8" s="10" t="s">
        <v>433</v>
      </c>
      <c r="G8" s="10" t="s">
        <v>94</v>
      </c>
      <c r="H8" s="10">
        <v>70</v>
      </c>
    </row>
    <row r="9" spans="1:8">
      <c r="A9" s="9" t="s">
        <v>75</v>
      </c>
      <c r="B9" s="10" t="s">
        <v>434</v>
      </c>
      <c r="C9" s="10">
        <v>50</v>
      </c>
      <c r="D9" s="11" t="s">
        <v>435</v>
      </c>
      <c r="E9" s="13">
        <v>30</v>
      </c>
      <c r="F9" s="11" t="s">
        <v>436</v>
      </c>
      <c r="G9" s="10" t="s">
        <v>94</v>
      </c>
      <c r="H9" s="10">
        <v>80</v>
      </c>
    </row>
    <row r="10" spans="1:8">
      <c r="A10" s="9" t="s">
        <v>75</v>
      </c>
      <c r="B10" s="10" t="s">
        <v>434</v>
      </c>
      <c r="C10" s="10">
        <v>100</v>
      </c>
      <c r="D10" s="11" t="s">
        <v>435</v>
      </c>
      <c r="E10" s="13">
        <v>60</v>
      </c>
      <c r="F10" s="11" t="s">
        <v>436</v>
      </c>
      <c r="G10" s="10" t="s">
        <v>94</v>
      </c>
      <c r="H10" s="10">
        <v>90</v>
      </c>
    </row>
    <row r="11" spans="1:8">
      <c r="A11" s="9" t="s">
        <v>75</v>
      </c>
      <c r="B11" s="10" t="s">
        <v>437</v>
      </c>
      <c r="C11" s="10">
        <v>20</v>
      </c>
      <c r="D11" s="11" t="s">
        <v>438</v>
      </c>
      <c r="E11" s="10">
        <v>8</v>
      </c>
      <c r="F11" s="10" t="s">
        <v>439</v>
      </c>
      <c r="G11" s="10" t="s">
        <v>94</v>
      </c>
      <c r="H11" s="10">
        <v>10</v>
      </c>
    </row>
    <row r="12" spans="1:8">
      <c r="A12" s="9" t="s">
        <v>75</v>
      </c>
      <c r="B12" s="10" t="s">
        <v>437</v>
      </c>
      <c r="C12" s="10">
        <v>40</v>
      </c>
      <c r="D12" s="11" t="s">
        <v>438</v>
      </c>
      <c r="E12" s="10">
        <v>16</v>
      </c>
      <c r="F12" s="10" t="s">
        <v>439</v>
      </c>
      <c r="G12" s="10" t="s">
        <v>94</v>
      </c>
      <c r="H12" s="10">
        <v>20</v>
      </c>
    </row>
    <row r="13" spans="1:8">
      <c r="A13" s="9" t="s">
        <v>75</v>
      </c>
      <c r="B13" s="10" t="s">
        <v>437</v>
      </c>
      <c r="C13" s="10">
        <v>80</v>
      </c>
      <c r="D13" s="11" t="s">
        <v>438</v>
      </c>
      <c r="E13" s="10">
        <v>32</v>
      </c>
      <c r="F13" s="10" t="s">
        <v>439</v>
      </c>
      <c r="G13" s="10" t="s">
        <v>94</v>
      </c>
      <c r="H13" s="10">
        <v>30</v>
      </c>
    </row>
    <row r="14" spans="1:8">
      <c r="A14" s="9" t="s">
        <v>75</v>
      </c>
      <c r="B14" s="10" t="s">
        <v>440</v>
      </c>
      <c r="C14" s="10">
        <v>10</v>
      </c>
      <c r="D14" s="11" t="s">
        <v>438</v>
      </c>
      <c r="E14" s="10">
        <v>4</v>
      </c>
      <c r="F14" s="10" t="s">
        <v>439</v>
      </c>
      <c r="G14" s="10" t="s">
        <v>94</v>
      </c>
      <c r="H14" s="10">
        <v>10</v>
      </c>
    </row>
    <row r="15" spans="1:8">
      <c r="A15" s="9" t="s">
        <v>75</v>
      </c>
      <c r="B15" s="10" t="s">
        <v>440</v>
      </c>
      <c r="C15" s="10">
        <v>12</v>
      </c>
      <c r="D15" s="11" t="s">
        <v>438</v>
      </c>
      <c r="E15" s="10">
        <v>4.7</v>
      </c>
      <c r="F15" s="10" t="s">
        <v>439</v>
      </c>
      <c r="G15" s="10" t="s">
        <v>94</v>
      </c>
      <c r="H15" s="10">
        <v>20</v>
      </c>
    </row>
    <row r="16" spans="1:8">
      <c r="A16" s="9" t="s">
        <v>75</v>
      </c>
      <c r="B16" s="10" t="s">
        <v>440</v>
      </c>
      <c r="C16" s="10">
        <v>13</v>
      </c>
      <c r="D16" s="11" t="s">
        <v>438</v>
      </c>
      <c r="E16" s="10">
        <v>5</v>
      </c>
      <c r="F16" s="10" t="s">
        <v>439</v>
      </c>
      <c r="G16" s="10" t="s">
        <v>94</v>
      </c>
      <c r="H16" s="10">
        <v>30</v>
      </c>
    </row>
    <row r="17" spans="1:8">
      <c r="A17" s="9" t="s">
        <v>75</v>
      </c>
      <c r="B17" s="10" t="s">
        <v>440</v>
      </c>
      <c r="C17" s="10">
        <v>14</v>
      </c>
      <c r="D17" s="11" t="s">
        <v>438</v>
      </c>
      <c r="E17" s="10">
        <v>5.5</v>
      </c>
      <c r="F17" s="10" t="s">
        <v>439</v>
      </c>
      <c r="G17" s="10" t="s">
        <v>94</v>
      </c>
      <c r="H17" s="10">
        <v>40</v>
      </c>
    </row>
    <row r="18" spans="1:8">
      <c r="A18" s="9" t="s">
        <v>75</v>
      </c>
      <c r="B18" s="10" t="s">
        <v>440</v>
      </c>
      <c r="C18" s="10">
        <v>16.5</v>
      </c>
      <c r="D18" s="11" t="s">
        <v>438</v>
      </c>
      <c r="E18" s="10">
        <v>6.5</v>
      </c>
      <c r="F18" s="10" t="s">
        <v>439</v>
      </c>
      <c r="G18" s="10" t="s">
        <v>94</v>
      </c>
      <c r="H18" s="10">
        <v>50</v>
      </c>
    </row>
    <row r="19" spans="1:8">
      <c r="A19" s="9" t="s">
        <v>75</v>
      </c>
      <c r="B19" s="10" t="s">
        <v>440</v>
      </c>
      <c r="C19" s="10">
        <v>17</v>
      </c>
      <c r="D19" s="11" t="s">
        <v>438</v>
      </c>
      <c r="E19" s="10">
        <v>6.7</v>
      </c>
      <c r="F19" s="10" t="s">
        <v>439</v>
      </c>
      <c r="G19" s="10" t="s">
        <v>94</v>
      </c>
      <c r="H19" s="10">
        <v>60</v>
      </c>
    </row>
    <row r="20" spans="1:8">
      <c r="A20" s="9" t="s">
        <v>75</v>
      </c>
      <c r="B20" s="10" t="s">
        <v>440</v>
      </c>
      <c r="C20" s="10">
        <v>17.5</v>
      </c>
      <c r="D20" s="11" t="s">
        <v>438</v>
      </c>
      <c r="E20" s="10">
        <v>6.9</v>
      </c>
      <c r="F20" s="10" t="s">
        <v>439</v>
      </c>
      <c r="G20" s="10" t="s">
        <v>94</v>
      </c>
      <c r="H20" s="10">
        <v>70</v>
      </c>
    </row>
    <row r="21" spans="1:8">
      <c r="A21" s="9" t="s">
        <v>75</v>
      </c>
      <c r="B21" s="10" t="s">
        <v>440</v>
      </c>
      <c r="C21" s="10">
        <v>20</v>
      </c>
      <c r="D21" s="11" t="s">
        <v>438</v>
      </c>
      <c r="E21" s="10">
        <v>8</v>
      </c>
      <c r="F21" s="10" t="s">
        <v>439</v>
      </c>
      <c r="G21" s="10" t="s">
        <v>94</v>
      </c>
      <c r="H21" s="10">
        <v>80</v>
      </c>
    </row>
    <row r="22" spans="1:8">
      <c r="A22" s="9" t="s">
        <v>75</v>
      </c>
      <c r="B22" s="10" t="s">
        <v>440</v>
      </c>
      <c r="C22" s="10">
        <v>28</v>
      </c>
      <c r="D22" s="11" t="s">
        <v>438</v>
      </c>
      <c r="E22" s="10">
        <v>11</v>
      </c>
      <c r="F22" s="10" t="s">
        <v>439</v>
      </c>
      <c r="G22" s="10" t="s">
        <v>94</v>
      </c>
      <c r="H22" s="10">
        <v>90</v>
      </c>
    </row>
    <row r="23" spans="1:8">
      <c r="A23" s="9" t="s">
        <v>75</v>
      </c>
      <c r="B23" s="10" t="s">
        <v>440</v>
      </c>
      <c r="C23" s="10">
        <v>32</v>
      </c>
      <c r="D23" s="11" t="s">
        <v>438</v>
      </c>
      <c r="E23" s="10">
        <v>12.6</v>
      </c>
      <c r="F23" s="10" t="s">
        <v>439</v>
      </c>
      <c r="G23" s="10" t="s">
        <v>94</v>
      </c>
      <c r="H23" s="10">
        <v>100</v>
      </c>
    </row>
    <row r="24" spans="1:8">
      <c r="A24" s="9" t="s">
        <v>75</v>
      </c>
      <c r="B24" s="10" t="s">
        <v>440</v>
      </c>
      <c r="C24" s="10">
        <v>33</v>
      </c>
      <c r="D24" s="11" t="s">
        <v>438</v>
      </c>
      <c r="E24" s="10">
        <v>13</v>
      </c>
      <c r="F24" s="10" t="s">
        <v>439</v>
      </c>
      <c r="G24" s="10" t="s">
        <v>94</v>
      </c>
      <c r="H24" s="10">
        <v>110</v>
      </c>
    </row>
    <row r="25" spans="1:8">
      <c r="A25" s="9" t="s">
        <v>75</v>
      </c>
      <c r="B25" s="10" t="s">
        <v>440</v>
      </c>
      <c r="C25" s="10">
        <v>34</v>
      </c>
      <c r="D25" s="11" t="s">
        <v>438</v>
      </c>
      <c r="E25" s="10">
        <v>13.4</v>
      </c>
      <c r="F25" s="10" t="s">
        <v>439</v>
      </c>
      <c r="G25" s="10" t="s">
        <v>94</v>
      </c>
      <c r="H25" s="10">
        <v>120</v>
      </c>
    </row>
    <row r="26" spans="1:8">
      <c r="A26" s="9" t="s">
        <v>75</v>
      </c>
      <c r="B26" s="10" t="s">
        <v>440</v>
      </c>
      <c r="C26" s="10">
        <v>34.5</v>
      </c>
      <c r="D26" s="11" t="s">
        <v>438</v>
      </c>
      <c r="E26" s="10">
        <v>13.6</v>
      </c>
      <c r="F26" s="10" t="s">
        <v>439</v>
      </c>
      <c r="G26" s="10" t="s">
        <v>94</v>
      </c>
      <c r="H26" s="10">
        <v>130</v>
      </c>
    </row>
  </sheetData>
  <pageMargins left="0.75" right="0.75" top="1" bottom="1" header="0.5" footer="0.5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8"/>
  <sheetViews>
    <sheetView tabSelected="1" workbookViewId="0">
      <selection activeCell="D23" sqref="D23"/>
    </sheetView>
  </sheetViews>
  <sheetFormatPr defaultColWidth="9" defaultRowHeight="16.8"/>
  <cols>
    <col min="1" max="1" width="18.0673076923077" style="1" customWidth="1"/>
    <col min="2" max="2" width="28.7788461538462" style="1" customWidth="1"/>
    <col min="3" max="3" width="21.6634615384615" style="1" customWidth="1"/>
    <col min="4" max="4" width="15.2211538461538" style="1" customWidth="1"/>
    <col min="5" max="5" width="11.7788461538462" style="1" customWidth="1"/>
    <col min="6" max="6" width="11.1153846153846" style="1" customWidth="1"/>
    <col min="7" max="7" width="9.77884615384615" style="1" customWidth="1"/>
    <col min="8" max="8" width="14.7788461538462" style="1" customWidth="1"/>
    <col min="9" max="9" width="7.44230769230769" style="1" customWidth="1"/>
    <col min="10" max="11" width="11.8846153846154" style="1" customWidth="1"/>
    <col min="12" max="12" width="16.3365384615385" style="1" customWidth="1"/>
    <col min="13" max="16383" width="9" style="1"/>
  </cols>
  <sheetData>
    <row r="1" s="1" customFormat="1" ht="37" customHeight="1" spans="1:12">
      <c r="A1" s="2" t="s">
        <v>441</v>
      </c>
      <c r="B1" s="2" t="s">
        <v>442</v>
      </c>
      <c r="C1" s="2" t="s">
        <v>443</v>
      </c>
      <c r="D1" s="3" t="s">
        <v>444</v>
      </c>
      <c r="E1" s="2" t="s">
        <v>445</v>
      </c>
      <c r="F1" s="3" t="s">
        <v>446</v>
      </c>
      <c r="G1" s="3" t="s">
        <v>447</v>
      </c>
      <c r="H1" s="3" t="s">
        <v>448</v>
      </c>
      <c r="I1" s="2" t="s">
        <v>73</v>
      </c>
      <c r="J1" s="2" t="s">
        <v>449</v>
      </c>
      <c r="K1" s="2" t="s">
        <v>450</v>
      </c>
      <c r="L1" s="3" t="s">
        <v>451</v>
      </c>
    </row>
    <row r="2" s="1" customFormat="1" ht="17" spans="1:12">
      <c r="A2" s="4" t="s">
        <v>452</v>
      </c>
      <c r="B2" s="4" t="s">
        <v>453</v>
      </c>
      <c r="C2" s="4" t="s">
        <v>443</v>
      </c>
      <c r="D2" s="4"/>
      <c r="E2" s="4" t="s">
        <v>452</v>
      </c>
      <c r="F2" s="4"/>
      <c r="G2" s="6"/>
      <c r="H2" s="6"/>
      <c r="I2" s="6" t="s">
        <v>454</v>
      </c>
      <c r="J2" s="6" t="s">
        <v>1</v>
      </c>
      <c r="K2" s="4" t="s">
        <v>1</v>
      </c>
      <c r="L2" s="4" t="s">
        <v>1</v>
      </c>
    </row>
    <row r="3" s="1" customFormat="1" ht="17" spans="1:12">
      <c r="A3" s="4" t="s">
        <v>455</v>
      </c>
      <c r="B3" s="5" t="s">
        <v>456</v>
      </c>
      <c r="C3" s="4" t="s">
        <v>457</v>
      </c>
      <c r="D3" s="4" t="s">
        <v>455</v>
      </c>
      <c r="E3" s="4" t="s">
        <v>458</v>
      </c>
      <c r="F3" s="4" t="s">
        <v>459</v>
      </c>
      <c r="G3" s="6" t="s">
        <v>460</v>
      </c>
      <c r="H3" s="6"/>
      <c r="I3" s="6" t="s">
        <v>454</v>
      </c>
      <c r="J3" s="6" t="s">
        <v>1</v>
      </c>
      <c r="K3" s="4" t="s">
        <v>1</v>
      </c>
      <c r="L3" s="4" t="s">
        <v>461</v>
      </c>
    </row>
    <row r="4" s="1" customFormat="1" ht="17" spans="1:12">
      <c r="A4" s="4" t="s">
        <v>462</v>
      </c>
      <c r="B4" s="5" t="s">
        <v>463</v>
      </c>
      <c r="C4" s="4" t="s">
        <v>464</v>
      </c>
      <c r="D4" s="4" t="s">
        <v>462</v>
      </c>
      <c r="E4" s="4" t="s">
        <v>458</v>
      </c>
      <c r="F4" s="4" t="s">
        <v>465</v>
      </c>
      <c r="G4" s="6" t="s">
        <v>466</v>
      </c>
      <c r="H4" s="6"/>
      <c r="I4" s="6" t="s">
        <v>454</v>
      </c>
      <c r="J4" s="6"/>
      <c r="K4" s="4"/>
      <c r="L4" s="4" t="s">
        <v>467</v>
      </c>
    </row>
    <row r="5" s="1" customFormat="1" ht="17" spans="1:12">
      <c r="A5" s="4" t="s">
        <v>468</v>
      </c>
      <c r="B5" s="5" t="s">
        <v>469</v>
      </c>
      <c r="C5" s="4" t="s">
        <v>470</v>
      </c>
      <c r="D5" s="4" t="s">
        <v>468</v>
      </c>
      <c r="E5" s="4" t="s">
        <v>458</v>
      </c>
      <c r="F5" s="4" t="s">
        <v>471</v>
      </c>
      <c r="G5" s="6" t="s">
        <v>472</v>
      </c>
      <c r="H5" s="6"/>
      <c r="I5" s="6" t="s">
        <v>454</v>
      </c>
      <c r="J5" s="6"/>
      <c r="K5" s="4"/>
      <c r="L5" s="4" t="s">
        <v>461</v>
      </c>
    </row>
    <row r="6" s="1" customFormat="1" ht="17" spans="1:12">
      <c r="A6" s="4" t="s">
        <v>473</v>
      </c>
      <c r="B6" s="5" t="s">
        <v>474</v>
      </c>
      <c r="C6" s="4" t="s">
        <v>475</v>
      </c>
      <c r="D6" s="4" t="s">
        <v>473</v>
      </c>
      <c r="E6" s="4" t="s">
        <v>458</v>
      </c>
      <c r="F6" s="4" t="s">
        <v>476</v>
      </c>
      <c r="G6" s="6" t="s">
        <v>477</v>
      </c>
      <c r="H6" s="6"/>
      <c r="I6" s="6" t="s">
        <v>454</v>
      </c>
      <c r="J6" s="6"/>
      <c r="K6" s="4"/>
      <c r="L6" s="4" t="s">
        <v>461</v>
      </c>
    </row>
    <row r="7" s="1" customFormat="1" ht="17" spans="1:12">
      <c r="A7" s="4" t="s">
        <v>478</v>
      </c>
      <c r="B7" s="5" t="s">
        <v>479</v>
      </c>
      <c r="C7" s="4" t="s">
        <v>480</v>
      </c>
      <c r="D7" s="4" t="s">
        <v>478</v>
      </c>
      <c r="E7" s="4" t="s">
        <v>481</v>
      </c>
      <c r="F7" s="4" t="s">
        <v>482</v>
      </c>
      <c r="G7" s="6" t="s">
        <v>460</v>
      </c>
      <c r="H7" s="6"/>
      <c r="I7" s="6" t="s">
        <v>454</v>
      </c>
      <c r="J7" s="6"/>
      <c r="K7" s="4"/>
      <c r="L7" s="4" t="s">
        <v>461</v>
      </c>
    </row>
    <row r="8" s="1" customFormat="1" ht="17" spans="1:12">
      <c r="A8" s="4" t="s">
        <v>483</v>
      </c>
      <c r="B8" s="5" t="s">
        <v>484</v>
      </c>
      <c r="C8" s="4" t="s">
        <v>485</v>
      </c>
      <c r="D8" s="4" t="s">
        <v>483</v>
      </c>
      <c r="E8" s="4" t="s">
        <v>481</v>
      </c>
      <c r="F8" s="4" t="s">
        <v>465</v>
      </c>
      <c r="G8" s="6" t="s">
        <v>466</v>
      </c>
      <c r="H8" s="6"/>
      <c r="I8" s="6" t="s">
        <v>454</v>
      </c>
      <c r="J8" s="4"/>
      <c r="K8" s="4"/>
      <c r="L8" s="4" t="s">
        <v>467</v>
      </c>
    </row>
    <row r="9" s="1" customFormat="1" ht="17" spans="1:12">
      <c r="A9" s="4" t="s">
        <v>486</v>
      </c>
      <c r="B9" s="5" t="s">
        <v>487</v>
      </c>
      <c r="C9" s="4" t="s">
        <v>488</v>
      </c>
      <c r="D9" s="4" t="s">
        <v>486</v>
      </c>
      <c r="E9" s="4" t="s">
        <v>481</v>
      </c>
      <c r="F9" s="4" t="s">
        <v>489</v>
      </c>
      <c r="G9" s="6" t="s">
        <v>472</v>
      </c>
      <c r="H9" s="6"/>
      <c r="I9" s="6" t="s">
        <v>454</v>
      </c>
      <c r="J9" s="4"/>
      <c r="K9" s="4"/>
      <c r="L9" s="4" t="s">
        <v>461</v>
      </c>
    </row>
    <row r="10" s="1" customFormat="1" ht="17" spans="1:12">
      <c r="A10" s="4" t="s">
        <v>490</v>
      </c>
      <c r="B10" s="5" t="s">
        <v>491</v>
      </c>
      <c r="C10" s="4" t="s">
        <v>492</v>
      </c>
      <c r="D10" s="4" t="s">
        <v>490</v>
      </c>
      <c r="E10" s="4" t="s">
        <v>481</v>
      </c>
      <c r="F10" s="4" t="s">
        <v>476</v>
      </c>
      <c r="G10" s="6" t="s">
        <v>477</v>
      </c>
      <c r="H10" s="6"/>
      <c r="I10" s="6" t="s">
        <v>454</v>
      </c>
      <c r="J10" s="4"/>
      <c r="K10" s="4"/>
      <c r="L10" s="4" t="s">
        <v>461</v>
      </c>
    </row>
    <row r="11" s="1" customFormat="1" ht="17" spans="1:12">
      <c r="A11" s="4" t="s">
        <v>493</v>
      </c>
      <c r="B11" s="5" t="s">
        <v>494</v>
      </c>
      <c r="C11" s="4" t="s">
        <v>495</v>
      </c>
      <c r="D11" s="4" t="s">
        <v>493</v>
      </c>
      <c r="E11" s="4" t="s">
        <v>496</v>
      </c>
      <c r="F11" s="4" t="s">
        <v>497</v>
      </c>
      <c r="G11" s="6" t="s">
        <v>460</v>
      </c>
      <c r="H11" s="6"/>
      <c r="I11" s="6" t="s">
        <v>454</v>
      </c>
      <c r="J11" s="4"/>
      <c r="K11" s="4"/>
      <c r="L11" s="4" t="s">
        <v>461</v>
      </c>
    </row>
    <row r="12" s="1" customFormat="1" ht="17" spans="1:12">
      <c r="A12" s="4" t="s">
        <v>498</v>
      </c>
      <c r="B12" s="5" t="s">
        <v>499</v>
      </c>
      <c r="C12" s="4" t="s">
        <v>500</v>
      </c>
      <c r="D12" s="4" t="s">
        <v>498</v>
      </c>
      <c r="E12" s="4" t="s">
        <v>496</v>
      </c>
      <c r="F12" s="4" t="s">
        <v>465</v>
      </c>
      <c r="G12" s="6" t="s">
        <v>466</v>
      </c>
      <c r="H12" s="6"/>
      <c r="I12" s="6" t="s">
        <v>454</v>
      </c>
      <c r="J12" s="4"/>
      <c r="K12" s="4"/>
      <c r="L12" s="4" t="s">
        <v>467</v>
      </c>
    </row>
    <row r="13" s="1" customFormat="1" ht="17" spans="1:12">
      <c r="A13" s="4" t="s">
        <v>501</v>
      </c>
      <c r="B13" s="5" t="s">
        <v>502</v>
      </c>
      <c r="C13" s="4" t="s">
        <v>503</v>
      </c>
      <c r="D13" s="4" t="s">
        <v>501</v>
      </c>
      <c r="E13" s="4" t="s">
        <v>496</v>
      </c>
      <c r="F13" s="4" t="s">
        <v>504</v>
      </c>
      <c r="G13" s="6" t="s">
        <v>472</v>
      </c>
      <c r="H13" s="6"/>
      <c r="I13" s="6" t="s">
        <v>454</v>
      </c>
      <c r="J13" s="4"/>
      <c r="K13" s="4"/>
      <c r="L13" s="4" t="s">
        <v>461</v>
      </c>
    </row>
    <row r="14" s="1" customFormat="1" ht="17" spans="1:12">
      <c r="A14" s="4" t="s">
        <v>505</v>
      </c>
      <c r="B14" s="5" t="s">
        <v>506</v>
      </c>
      <c r="C14" s="4" t="s">
        <v>507</v>
      </c>
      <c r="D14" s="4" t="s">
        <v>505</v>
      </c>
      <c r="E14" s="4" t="s">
        <v>496</v>
      </c>
      <c r="F14" s="4" t="s">
        <v>476</v>
      </c>
      <c r="G14" s="6" t="s">
        <v>477</v>
      </c>
      <c r="H14" s="6"/>
      <c r="I14" s="6" t="s">
        <v>454</v>
      </c>
      <c r="J14" s="4"/>
      <c r="K14" s="4"/>
      <c r="L14" s="4" t="s">
        <v>461</v>
      </c>
    </row>
    <row r="15" s="1" customFormat="1" ht="17" spans="1:12">
      <c r="A15" s="4" t="s">
        <v>1</v>
      </c>
      <c r="B15" s="4" t="s">
        <v>1</v>
      </c>
      <c r="C15" s="4" t="s">
        <v>1</v>
      </c>
      <c r="D15" s="4"/>
      <c r="E15" s="4"/>
      <c r="F15" s="4"/>
      <c r="G15" s="4"/>
      <c r="H15" s="4"/>
      <c r="I15" s="4" t="s">
        <v>1</v>
      </c>
      <c r="J15" s="4" t="s">
        <v>1</v>
      </c>
      <c r="K15" s="4" t="s">
        <v>1</v>
      </c>
      <c r="L15" s="4" t="s">
        <v>1</v>
      </c>
    </row>
    <row r="16" s="1" customFormat="1" ht="17" spans="1:12">
      <c r="A16" s="4" t="s">
        <v>1</v>
      </c>
      <c r="B16" s="4" t="s">
        <v>1</v>
      </c>
      <c r="C16" s="4" t="s">
        <v>1</v>
      </c>
      <c r="D16" s="4"/>
      <c r="E16" s="4"/>
      <c r="F16" s="4"/>
      <c r="G16" s="4"/>
      <c r="H16" s="4"/>
      <c r="I16" s="4" t="s">
        <v>1</v>
      </c>
      <c r="J16" s="4" t="s">
        <v>1</v>
      </c>
      <c r="K16" s="4" t="s">
        <v>1</v>
      </c>
      <c r="L16" s="4" t="s">
        <v>1</v>
      </c>
    </row>
    <row r="17" s="1" customFormat="1" ht="17" spans="1:12">
      <c r="A17" s="4" t="s">
        <v>1</v>
      </c>
      <c r="B17" s="4" t="s">
        <v>1</v>
      </c>
      <c r="C17" s="4" t="s">
        <v>1</v>
      </c>
      <c r="D17" s="4"/>
      <c r="E17" s="4" t="s">
        <v>1</v>
      </c>
      <c r="F17" s="4"/>
      <c r="G17" s="4"/>
      <c r="H17" s="4"/>
      <c r="I17" s="4" t="s">
        <v>1</v>
      </c>
      <c r="J17" s="4" t="s">
        <v>1</v>
      </c>
      <c r="K17" s="4" t="s">
        <v>1</v>
      </c>
      <c r="L17" s="4" t="s">
        <v>1</v>
      </c>
    </row>
    <row r="18" s="1" customFormat="1"/>
  </sheetData>
  <mergeCells count="1">
    <mergeCell ref="A18:L18"/>
  </mergeCells>
  <hyperlinks>
    <hyperlink ref="B2" r:id="rId1" display="admin@lockedair.com" tooltip="mailto:admin@lockedair.com"/>
    <hyperlink ref="B3" r:id="rId2" display="sales_CN@lockedair.com"/>
    <hyperlink ref="B4" r:id="rId3" display="sales_US@lockedair.com"/>
    <hyperlink ref="B5" r:id="rId4" display="sales_DE@lockedair.com"/>
    <hyperlink ref="B6" r:id="rId5" display="sales_AU@lockedair.com"/>
    <hyperlink ref="B7" r:id="rId6" display="customer_CN@lockedair.com"/>
    <hyperlink ref="B8" r:id="rId7" display="customer_US@lockedair.com"/>
    <hyperlink ref="B9" r:id="rId8" display="customer_DE@lockedair.com"/>
    <hyperlink ref="B10" r:id="rId9" display="customer_AU@lockedair.com"/>
    <hyperlink ref="B11" r:id="rId10" display="distributor_CN@lockedair.com"/>
    <hyperlink ref="B12" r:id="rId11" display="distributor_US@lockedair.com"/>
    <hyperlink ref="B13" r:id="rId12" display="distributor_DE@lockedair.com"/>
    <hyperlink ref="B14" r:id="rId13" display="distributor_AU@lockedair.com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使用说明</vt:lpstr>
      <vt:lpstr>wp_bjt_consumables</vt:lpstr>
      <vt:lpstr>wp_bjt_shapes</vt:lpstr>
      <vt:lpstr>wp_bjt_materials</vt:lpstr>
      <vt:lpstr>wp_bjt_specifications</vt:lpstr>
      <vt:lpstr>wp_bjt_users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盘庚（栗子）</cp:lastModifiedBy>
  <dcterms:created xsi:type="dcterms:W3CDTF">2025-05-22T17:41:00Z</dcterms:created>
  <dcterms:modified xsi:type="dcterms:W3CDTF">2025-05-25T07:59:08Z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A6205092B5F1965659ED2D689D7A48E5_43</vt:lpwstr>
  </property>
  <property fmtid="{D5CDD505-2E9C-101B-9397-08002B2CF9AE}" pid="3" name="KSOProductBuildVer">
    <vt:lpwstr>2052-5.4.0.7913</vt:lpwstr>
  </property>
</Properties>
</file>